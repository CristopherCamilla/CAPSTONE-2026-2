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OPHER\Dropbox\Pesonal\DUOC\8bo semestre\CAPSTONE\CAPSTONE-2026-2\Fase 2\Evidencias Proyecto\"/>
    </mc:Choice>
  </mc:AlternateContent>
  <xr:revisionPtr revIDLastSave="0" documentId="13_ncr:1_{F4D2DF37-771D-498E-B91E-C68B86611A07}" xr6:coauthVersionLast="47" xr6:coauthVersionMax="47" xr10:uidLastSave="{00000000-0000-0000-0000-000000000000}"/>
  <bookViews>
    <workbookView xWindow="-120" yWindow="-120" windowWidth="29040" windowHeight="15840" activeTab="1" xr2:uid="{05C6BD18-DEBE-4F50-9CD8-9A9398491196}"/>
  </bookViews>
  <sheets>
    <sheet name="Comparativos" sheetId="4" r:id="rId1"/>
    <sheet name="Metricas modelo XGBoost" sheetId="1" r:id="rId2"/>
    <sheet name="Metricas SVR" sheetId="3" r:id="rId3"/>
    <sheet name="Metricas Modelo Random Forest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4" l="1"/>
  <c r="T4" i="4"/>
  <c r="S4" i="4"/>
  <c r="R4" i="4"/>
  <c r="P4" i="4"/>
  <c r="O4" i="4"/>
  <c r="N4" i="4"/>
  <c r="M4" i="4"/>
  <c r="J4" i="4"/>
  <c r="I4" i="4"/>
  <c r="H4" i="4"/>
  <c r="G4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2" i="2"/>
</calcChain>
</file>

<file path=xl/sharedStrings.xml><?xml version="1.0" encoding="utf-8"?>
<sst xmlns="http://schemas.openxmlformats.org/spreadsheetml/2006/main" count="967" uniqueCount="315">
  <si>
    <t>Genero</t>
  </si>
  <si>
    <t>Categoria</t>
  </si>
  <si>
    <t>SubCategoria</t>
  </si>
  <si>
    <t>MAE</t>
  </si>
  <si>
    <t>RMSE</t>
  </si>
  <si>
    <t>MAPE_%</t>
  </si>
  <si>
    <t>R2</t>
  </si>
  <si>
    <t>Datos_Historicos</t>
  </si>
  <si>
    <t>Factor_Ajuste</t>
  </si>
  <si>
    <t>HOMB</t>
  </si>
  <si>
    <t>BOTI</t>
  </si>
  <si>
    <t>VEST</t>
  </si>
  <si>
    <t>ZAPA</t>
  </si>
  <si>
    <t>URBA</t>
  </si>
  <si>
    <t>NIÑM</t>
  </si>
  <si>
    <t>CASU</t>
  </si>
  <si>
    <t>NIÑH</t>
  </si>
  <si>
    <t>BOAG</t>
  </si>
  <si>
    <t>DISE</t>
  </si>
  <si>
    <t>1.33</t>
  </si>
  <si>
    <t>ZATO</t>
  </si>
  <si>
    <t>MUJE</t>
  </si>
  <si>
    <t>1.01</t>
  </si>
  <si>
    <t>OUTD</t>
  </si>
  <si>
    <t>BOTA</t>
  </si>
  <si>
    <t>NIÑU</t>
  </si>
  <si>
    <t>1.58</t>
  </si>
  <si>
    <t>SAND</t>
  </si>
  <si>
    <t>AQUA</t>
  </si>
  <si>
    <t>NA</t>
  </si>
  <si>
    <t>1.17</t>
  </si>
  <si>
    <t>DEPO</t>
  </si>
  <si>
    <t>BASI</t>
  </si>
  <si>
    <t>1.26</t>
  </si>
  <si>
    <t>FUTB</t>
  </si>
  <si>
    <t>UNIX</t>
  </si>
  <si>
    <t>1.48</t>
  </si>
  <si>
    <t>FIES</t>
  </si>
  <si>
    <t>1.78</t>
  </si>
  <si>
    <t>PUNT</t>
  </si>
  <si>
    <t>PLAY</t>
  </si>
  <si>
    <t>EVA</t>
  </si>
  <si>
    <t>PANT</t>
  </si>
  <si>
    <t>1.83</t>
  </si>
  <si>
    <t>SERV</t>
  </si>
  <si>
    <t>1.44</t>
  </si>
  <si>
    <t>1.38</t>
  </si>
  <si>
    <t>1.75</t>
  </si>
  <si>
    <t>1.53</t>
  </si>
  <si>
    <t>2.75</t>
  </si>
  <si>
    <t>3.00</t>
  </si>
  <si>
    <t>118.68</t>
  </si>
  <si>
    <t>276.03</t>
  </si>
  <si>
    <t>681.83</t>
  </si>
  <si>
    <t>1090.02</t>
  </si>
  <si>
    <t>39.55</t>
  </si>
  <si>
    <t>51.12</t>
  </si>
  <si>
    <t>560.12</t>
  </si>
  <si>
    <t>813.74</t>
  </si>
  <si>
    <t>266.45</t>
  </si>
  <si>
    <t>468.16</t>
  </si>
  <si>
    <t>11.82</t>
  </si>
  <si>
    <t>14.10</t>
  </si>
  <si>
    <t>613.81</t>
  </si>
  <si>
    <t>1208.53</t>
  </si>
  <si>
    <t>187.44</t>
  </si>
  <si>
    <t>323.06</t>
  </si>
  <si>
    <t>105.40</t>
  </si>
  <si>
    <t>192.67</t>
  </si>
  <si>
    <t>142.30</t>
  </si>
  <si>
    <t>211.35</t>
  </si>
  <si>
    <t>879.73</t>
  </si>
  <si>
    <t>1400.41</t>
  </si>
  <si>
    <t>459.56</t>
  </si>
  <si>
    <t>752.29</t>
  </si>
  <si>
    <t>169.63</t>
  </si>
  <si>
    <t>256.45</t>
  </si>
  <si>
    <t>1472.76</t>
  </si>
  <si>
    <t>2699.19</t>
  </si>
  <si>
    <t>51.88</t>
  </si>
  <si>
    <t>81.64</t>
  </si>
  <si>
    <t>27.75</t>
  </si>
  <si>
    <t>32.97</t>
  </si>
  <si>
    <t>25.66</t>
  </si>
  <si>
    <t>37.94</t>
  </si>
  <si>
    <t>113.93</t>
  </si>
  <si>
    <t>158.33</t>
  </si>
  <si>
    <t>1261.13</t>
  </si>
  <si>
    <t>1719.70</t>
  </si>
  <si>
    <t>87.82</t>
  </si>
  <si>
    <t>136.41</t>
  </si>
  <si>
    <t>39.33</t>
  </si>
  <si>
    <t>53.07</t>
  </si>
  <si>
    <t>39.48</t>
  </si>
  <si>
    <t>47.74</t>
  </si>
  <si>
    <t>215.24</t>
  </si>
  <si>
    <t>363.79</t>
  </si>
  <si>
    <t>240.40</t>
  </si>
  <si>
    <t>387.74</t>
  </si>
  <si>
    <t>1126.77</t>
  </si>
  <si>
    <t>2109.85</t>
  </si>
  <si>
    <t>35.22</t>
  </si>
  <si>
    <t>45.06</t>
  </si>
  <si>
    <t>154.01</t>
  </si>
  <si>
    <t>280.06</t>
  </si>
  <si>
    <t>195.96</t>
  </si>
  <si>
    <t>372.52</t>
  </si>
  <si>
    <t>181.75</t>
  </si>
  <si>
    <t>414.66</t>
  </si>
  <si>
    <t>145.04</t>
  </si>
  <si>
    <t>195.23</t>
  </si>
  <si>
    <t>199.55</t>
  </si>
  <si>
    <t>362.74</t>
  </si>
  <si>
    <t>457.39</t>
  </si>
  <si>
    <t>714.14</t>
  </si>
  <si>
    <t>171.01</t>
  </si>
  <si>
    <t>233.04</t>
  </si>
  <si>
    <t>155.64</t>
  </si>
  <si>
    <t>316.15</t>
  </si>
  <si>
    <t>619.38</t>
  </si>
  <si>
    <t>1123.39</t>
  </si>
  <si>
    <t>65.42</t>
  </si>
  <si>
    <t>92.35</t>
  </si>
  <si>
    <t>574.34</t>
  </si>
  <si>
    <t>933.04</t>
  </si>
  <si>
    <t>315.07</t>
  </si>
  <si>
    <t>446.93</t>
  </si>
  <si>
    <t>477.40</t>
  </si>
  <si>
    <t>736.46</t>
  </si>
  <si>
    <t>70.03</t>
  </si>
  <si>
    <t>114.62</t>
  </si>
  <si>
    <t>198.95</t>
  </si>
  <si>
    <t>306.78</t>
  </si>
  <si>
    <t>1027.00</t>
  </si>
  <si>
    <t>1680.85</t>
  </si>
  <si>
    <t>229.75</t>
  </si>
  <si>
    <t>386.46</t>
  </si>
  <si>
    <t>73.08</t>
  </si>
  <si>
    <t>108.50</t>
  </si>
  <si>
    <t>303.36</t>
  </si>
  <si>
    <t>550.43</t>
  </si>
  <si>
    <t>394.00</t>
  </si>
  <si>
    <t>506.94</t>
  </si>
  <si>
    <t>203.80</t>
  </si>
  <si>
    <t>314.86</t>
  </si>
  <si>
    <t>198.93</t>
  </si>
  <si>
    <t>297.08</t>
  </si>
  <si>
    <t>242.80</t>
  </si>
  <si>
    <t>449.70</t>
  </si>
  <si>
    <t>105.61</t>
  </si>
  <si>
    <t>142.86</t>
  </si>
  <si>
    <t>87.84</t>
  </si>
  <si>
    <t>146.80</t>
  </si>
  <si>
    <t>294.64</t>
  </si>
  <si>
    <t>622.82</t>
  </si>
  <si>
    <t>174.02</t>
  </si>
  <si>
    <t>264.65</t>
  </si>
  <si>
    <t>491.79</t>
  </si>
  <si>
    <t>647.37</t>
  </si>
  <si>
    <t>170.56</t>
  </si>
  <si>
    <t>229.58</t>
  </si>
  <si>
    <t>2443.45</t>
  </si>
  <si>
    <t>7016.90</t>
  </si>
  <si>
    <t>573.44</t>
  </si>
  <si>
    <t>925.72</t>
  </si>
  <si>
    <t>id</t>
  </si>
  <si>
    <t>Metricas Random Forest</t>
  </si>
  <si>
    <t>Metricas XGBOOST</t>
  </si>
  <si>
    <t>0.10</t>
  </si>
  <si>
    <t>0.14</t>
  </si>
  <si>
    <t>2.51</t>
  </si>
  <si>
    <t>3.49</t>
  </si>
  <si>
    <t>1.13</t>
  </si>
  <si>
    <t>147.52</t>
  </si>
  <si>
    <t>449.37</t>
  </si>
  <si>
    <t>998.01</t>
  </si>
  <si>
    <t>1476.77</t>
  </si>
  <si>
    <t>1.19</t>
  </si>
  <si>
    <t>818.02</t>
  </si>
  <si>
    <t>1098.49</t>
  </si>
  <si>
    <t>1.08</t>
  </si>
  <si>
    <t>881.44</t>
  </si>
  <si>
    <t>1765.33</t>
  </si>
  <si>
    <t>1.68</t>
  </si>
  <si>
    <t>188.69</t>
  </si>
  <si>
    <t>355.43</t>
  </si>
  <si>
    <t>1.16</t>
  </si>
  <si>
    <t>55.52</t>
  </si>
  <si>
    <t>100.86</t>
  </si>
  <si>
    <t>1.09</t>
  </si>
  <si>
    <t>38.90</t>
  </si>
  <si>
    <t>44.87</t>
  </si>
  <si>
    <t>1.22</t>
  </si>
  <si>
    <t>30.94</t>
  </si>
  <si>
    <t>37.50</t>
  </si>
  <si>
    <t>1.56</t>
  </si>
  <si>
    <t>44.11</t>
  </si>
  <si>
    <t>75.94</t>
  </si>
  <si>
    <t>1.65</t>
  </si>
  <si>
    <t>116.24</t>
  </si>
  <si>
    <t>179.13</t>
  </si>
  <si>
    <t>1.40</t>
  </si>
  <si>
    <t>1415.48</t>
  </si>
  <si>
    <t>1869.87</t>
  </si>
  <si>
    <t>1.29</t>
  </si>
  <si>
    <t>284.93</t>
  </si>
  <si>
    <t>560.26</t>
  </si>
  <si>
    <t>1.42</t>
  </si>
  <si>
    <t>564.94</t>
  </si>
  <si>
    <t>982.07</t>
  </si>
  <si>
    <t>1.90</t>
  </si>
  <si>
    <t>201.53</t>
  </si>
  <si>
    <t>398.68</t>
  </si>
  <si>
    <t>1.30</t>
  </si>
  <si>
    <t>166.92</t>
  </si>
  <si>
    <t>246.37</t>
  </si>
  <si>
    <t>19.02</t>
  </si>
  <si>
    <t>27.93</t>
  </si>
  <si>
    <t>50.61</t>
  </si>
  <si>
    <t>66.43</t>
  </si>
  <si>
    <t>1285.76</t>
  </si>
  <si>
    <t>2269.36</t>
  </si>
  <si>
    <t>332.78</t>
  </si>
  <si>
    <t>661.07</t>
  </si>
  <si>
    <t>681.52</t>
  </si>
  <si>
    <t>1352.50</t>
  </si>
  <si>
    <t>1.14</t>
  </si>
  <si>
    <t>211.80</t>
  </si>
  <si>
    <t>437.55</t>
  </si>
  <si>
    <t>2.08</t>
  </si>
  <si>
    <t>578.10</t>
  </si>
  <si>
    <t>991.39</t>
  </si>
  <si>
    <t>1.41</t>
  </si>
  <si>
    <t>74.75</t>
  </si>
  <si>
    <t>162.70</t>
  </si>
  <si>
    <t>2.15</t>
  </si>
  <si>
    <t>73.41</t>
  </si>
  <si>
    <t>111.72</t>
  </si>
  <si>
    <t>2.03</t>
  </si>
  <si>
    <t>2053.23</t>
  </si>
  <si>
    <t>3885.94</t>
  </si>
  <si>
    <t>355.14</t>
  </si>
  <si>
    <t>577.83</t>
  </si>
  <si>
    <t>1.39</t>
  </si>
  <si>
    <t>5373.85</t>
  </si>
  <si>
    <t>12715.88</t>
  </si>
  <si>
    <t>608.83</t>
  </si>
  <si>
    <t>1275.72</t>
  </si>
  <si>
    <t>46.18</t>
  </si>
  <si>
    <t>57.56</t>
  </si>
  <si>
    <t>1504.10</t>
  </si>
  <si>
    <t>3093.31</t>
  </si>
  <si>
    <t>191.01</t>
  </si>
  <si>
    <t>257.46</t>
  </si>
  <si>
    <t>444.76</t>
  </si>
  <si>
    <t>664.81</t>
  </si>
  <si>
    <t>1.82</t>
  </si>
  <si>
    <t>471.69</t>
  </si>
  <si>
    <t>885.64</t>
  </si>
  <si>
    <t>77.39</t>
  </si>
  <si>
    <t>129.31</t>
  </si>
  <si>
    <t>210.62</t>
  </si>
  <si>
    <t>402.07</t>
  </si>
  <si>
    <t>588.62</t>
  </si>
  <si>
    <t>973.62</t>
  </si>
  <si>
    <t>208.86</t>
  </si>
  <si>
    <t>309.45</t>
  </si>
  <si>
    <t>275.11</t>
  </si>
  <si>
    <t>533.37</t>
  </si>
  <si>
    <t>1.77</t>
  </si>
  <si>
    <t>2277.86</t>
  </si>
  <si>
    <t>4620.38</t>
  </si>
  <si>
    <t>456.55</t>
  </si>
  <si>
    <t>747.29</t>
  </si>
  <si>
    <t>2.01</t>
  </si>
  <si>
    <t>395.04</t>
  </si>
  <si>
    <t>666.23</t>
  </si>
  <si>
    <t>1.35</t>
  </si>
  <si>
    <t>123.86</t>
  </si>
  <si>
    <t>194.83</t>
  </si>
  <si>
    <t>494.93</t>
  </si>
  <si>
    <t>783.20</t>
  </si>
  <si>
    <t>242.69</t>
  </si>
  <si>
    <t>442.09</t>
  </si>
  <si>
    <t>2.23</t>
  </si>
  <si>
    <t>399.30</t>
  </si>
  <si>
    <t>831.32</t>
  </si>
  <si>
    <t>598.82</t>
  </si>
  <si>
    <t>891.12</t>
  </si>
  <si>
    <t>205.39</t>
  </si>
  <si>
    <t>278.84</t>
  </si>
  <si>
    <t>1.61</t>
  </si>
  <si>
    <t>658.95</t>
  </si>
  <si>
    <t>998.33</t>
  </si>
  <si>
    <t>1.71</t>
  </si>
  <si>
    <t>131.93</t>
  </si>
  <si>
    <t>206.12</t>
  </si>
  <si>
    <t>2.19</t>
  </si>
  <si>
    <t>237.45</t>
  </si>
  <si>
    <t>548.49</t>
  </si>
  <si>
    <t>1198.98</t>
  </si>
  <si>
    <t>2183.42</t>
  </si>
  <si>
    <t>2.40</t>
  </si>
  <si>
    <t>244.50</t>
  </si>
  <si>
    <t>359.69</t>
  </si>
  <si>
    <t>1.70</t>
  </si>
  <si>
    <t>249.96</t>
  </si>
  <si>
    <t>367.74</t>
  </si>
  <si>
    <t>1.95</t>
  </si>
  <si>
    <t>285.04</t>
  </si>
  <si>
    <t>646.63</t>
  </si>
  <si>
    <t>735.03</t>
  </si>
  <si>
    <t>877.45</t>
  </si>
  <si>
    <t>2.04</t>
  </si>
  <si>
    <t>Metricas SVR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</si>
</sst>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2" fontId="0" fillId="0" borderId="3" xfId="0" applyNumberFormat="1" applyBorder="1"/>
    <xf numFmtId="2" fontId="0" fillId="0" borderId="2" xfId="0" applyNumberFormat="1" applyBorder="1"/>
    <xf numFmtId="2" fontId="0" fillId="0" borderId="4" xfId="0" applyNumberFormat="1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10" xfId="0" applyNumberFormat="1" applyBorder="1"/>
    <xf numFmtId="165" fontId="0" fillId="0" borderId="4" xfId="0" applyNumberFormat="1" applyBorder="1"/>
    <xf numFmtId="0" fontId="0" fillId="2" borderId="8" xfId="0" applyFill="1" applyBorder="1"/>
    <xf numFmtId="0" fontId="0" fillId="2" borderId="1" xfId="0" applyFill="1" applyBorder="1"/>
    <xf numFmtId="0" fontId="0" fillId="2" borderId="9" xfId="0" applyFill="1" applyBorder="1"/>
    <xf numFmtId="0" fontId="0" fillId="3" borderId="8" xfId="0" applyFill="1" applyBorder="1"/>
    <xf numFmtId="0" fontId="0" fillId="3" borderId="1" xfId="0" applyFill="1" applyBorder="1"/>
    <xf numFmtId="0" fontId="0" fillId="3" borderId="9" xfId="0" applyFill="1" applyBorder="1"/>
    <xf numFmtId="0" fontId="0" fillId="4" borderId="8" xfId="0" applyFill="1" applyBorder="1"/>
    <xf numFmtId="0" fontId="0" fillId="4" borderId="1" xfId="0" applyFill="1" applyBorder="1"/>
    <xf numFmtId="0" fontId="0" fillId="4" borderId="9" xfId="0" applyFill="1" applyBorder="1"/>
    <xf numFmtId="0" fontId="0" fillId="0" borderId="0" xfId="0" applyBorder="1" applyAlignment="1">
      <alignment vertical="center"/>
    </xf>
    <xf numFmtId="0" fontId="1" fillId="5" borderId="1" xfId="0" applyFont="1" applyFill="1" applyBorder="1"/>
    <xf numFmtId="0" fontId="1" fillId="0" borderId="1" xfId="0" applyFont="1" applyFill="1" applyBorder="1"/>
    <xf numFmtId="0" fontId="1" fillId="0" borderId="0" xfId="0" applyFont="1" applyFill="1"/>
    <xf numFmtId="0" fontId="1" fillId="0" borderId="8" xfId="0" applyFont="1" applyFill="1" applyBorder="1"/>
    <xf numFmtId="165" fontId="0" fillId="0" borderId="1" xfId="0" applyNumberFormat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CA487-8F67-4A9A-9938-75067F78B81C}">
  <dimension ref="B1:U53"/>
  <sheetViews>
    <sheetView showGridLines="0" workbookViewId="0">
      <selection activeCell="C2" sqref="C2"/>
    </sheetView>
  </sheetViews>
  <sheetFormatPr baseColWidth="10" defaultRowHeight="15" x14ac:dyDescent="0.25"/>
  <cols>
    <col min="2" max="2" width="5.42578125" customWidth="1"/>
    <col min="5" max="5" width="12.7109375" customWidth="1"/>
    <col min="6" max="6" width="3.140625" customWidth="1"/>
    <col min="11" max="11" width="16.140625" hidden="1" customWidth="1"/>
    <col min="12" max="12" width="2.140625" customWidth="1"/>
    <col min="17" max="17" width="3" customWidth="1"/>
  </cols>
  <sheetData>
    <row r="1" spans="2:21" ht="15.75" thickBot="1" x14ac:dyDescent="0.3"/>
    <row r="2" spans="2:21" x14ac:dyDescent="0.25">
      <c r="E2" s="23"/>
      <c r="G2" s="9" t="s">
        <v>167</v>
      </c>
      <c r="H2" s="10"/>
      <c r="I2" s="10"/>
      <c r="J2" s="11"/>
      <c r="M2" s="9" t="s">
        <v>166</v>
      </c>
      <c r="N2" s="10"/>
      <c r="O2" s="10"/>
      <c r="P2" s="11"/>
      <c r="R2" s="9" t="s">
        <v>314</v>
      </c>
      <c r="S2" s="10"/>
      <c r="T2" s="10"/>
      <c r="U2" s="11"/>
    </row>
    <row r="3" spans="2:21" ht="15.75" thickBot="1" x14ac:dyDescent="0.3">
      <c r="E3" s="23"/>
      <c r="G3" s="17" t="s">
        <v>3</v>
      </c>
      <c r="H3" s="18" t="s">
        <v>4</v>
      </c>
      <c r="I3" s="18" t="s">
        <v>5</v>
      </c>
      <c r="J3" s="19" t="s">
        <v>6</v>
      </c>
      <c r="K3" t="s">
        <v>7</v>
      </c>
      <c r="M3" s="14" t="s">
        <v>3</v>
      </c>
      <c r="N3" s="15" t="s">
        <v>4</v>
      </c>
      <c r="O3" s="15" t="s">
        <v>5</v>
      </c>
      <c r="P3" s="16" t="s">
        <v>6</v>
      </c>
      <c r="R3" s="20" t="s">
        <v>3</v>
      </c>
      <c r="S3" s="21" t="s">
        <v>4</v>
      </c>
      <c r="T3" s="21" t="s">
        <v>5</v>
      </c>
      <c r="U3" s="22" t="s">
        <v>6</v>
      </c>
    </row>
    <row r="4" spans="2:21" ht="15.75" thickBot="1" x14ac:dyDescent="0.3">
      <c r="E4" s="23"/>
      <c r="G4" s="12">
        <f>AVERAGE(G8:G53)</f>
        <v>215.72086956521744</v>
      </c>
      <c r="H4" s="5">
        <f t="shared" ref="H4:J4" si="0">AVERAGE(H8:H53)</f>
        <v>479.66913043478257</v>
      </c>
      <c r="I4" s="5">
        <f t="shared" si="0"/>
        <v>42.383260869565213</v>
      </c>
      <c r="J4" s="13">
        <f t="shared" si="0"/>
        <v>0.80068260869565233</v>
      </c>
      <c r="K4" s="6"/>
      <c r="L4" s="1"/>
      <c r="M4" s="12">
        <f>AVERAGE(M8:M53)</f>
        <v>366.58195652173907</v>
      </c>
      <c r="N4" s="5">
        <f t="shared" ref="N4:P4" si="1">AVERAGE(N8:N53)</f>
        <v>671.8204347826088</v>
      </c>
      <c r="O4" s="5">
        <f t="shared" si="1"/>
        <v>149.64326086956524</v>
      </c>
      <c r="P4" s="7">
        <f t="shared" si="1"/>
        <v>0.67344782608695675</v>
      </c>
      <c r="Q4" s="1"/>
      <c r="R4" s="12">
        <f>AVERAGE(R8:R53)</f>
        <v>576.42478260869552</v>
      </c>
      <c r="S4" s="5">
        <f t="shared" ref="S4:U4" si="2">AVERAGE(S8:S53)</f>
        <v>1094.5436956521742</v>
      </c>
      <c r="T4" s="5">
        <f t="shared" si="2"/>
        <v>140.75413043478261</v>
      </c>
      <c r="U4" s="7">
        <f t="shared" si="2"/>
        <v>0.36501086956521733</v>
      </c>
    </row>
    <row r="6" spans="2:21" x14ac:dyDescent="0.25">
      <c r="G6" s="8" t="s">
        <v>167</v>
      </c>
      <c r="H6" s="8"/>
      <c r="I6" s="8"/>
      <c r="J6" s="8"/>
      <c r="M6" s="8" t="s">
        <v>166</v>
      </c>
      <c r="N6" s="8"/>
      <c r="O6" s="8"/>
      <c r="P6" s="8"/>
      <c r="R6" s="8" t="s">
        <v>314</v>
      </c>
      <c r="S6" s="8"/>
      <c r="T6" s="8"/>
      <c r="U6" s="8"/>
    </row>
    <row r="7" spans="2:21" x14ac:dyDescent="0.25">
      <c r="B7" s="24" t="s">
        <v>165</v>
      </c>
      <c r="C7" s="24" t="s">
        <v>0</v>
      </c>
      <c r="D7" s="24" t="s">
        <v>1</v>
      </c>
      <c r="E7" s="24" t="s">
        <v>2</v>
      </c>
      <c r="G7" s="17" t="s">
        <v>3</v>
      </c>
      <c r="H7" s="18" t="s">
        <v>4</v>
      </c>
      <c r="I7" s="18" t="s">
        <v>5</v>
      </c>
      <c r="J7" s="19" t="s">
        <v>6</v>
      </c>
      <c r="K7" t="s">
        <v>7</v>
      </c>
      <c r="M7" s="14" t="s">
        <v>3</v>
      </c>
      <c r="N7" s="15" t="s">
        <v>4</v>
      </c>
      <c r="O7" s="15" t="s">
        <v>5</v>
      </c>
      <c r="P7" s="16" t="s">
        <v>6</v>
      </c>
      <c r="R7" s="20" t="s">
        <v>3</v>
      </c>
      <c r="S7" s="21" t="s">
        <v>4</v>
      </c>
      <c r="T7" s="21" t="s">
        <v>5</v>
      </c>
      <c r="U7" s="22" t="s">
        <v>6</v>
      </c>
    </row>
    <row r="8" spans="2:21" x14ac:dyDescent="0.25">
      <c r="B8" s="2">
        <v>3</v>
      </c>
      <c r="C8" s="2" t="s">
        <v>9</v>
      </c>
      <c r="D8" s="2" t="s">
        <v>10</v>
      </c>
      <c r="E8" s="2" t="s">
        <v>11</v>
      </c>
      <c r="G8" s="2">
        <v>0.28999999999999998</v>
      </c>
      <c r="H8" s="2">
        <v>0.64</v>
      </c>
      <c r="I8" s="2">
        <v>0.05</v>
      </c>
      <c r="J8" s="3">
        <v>1</v>
      </c>
      <c r="K8">
        <v>19</v>
      </c>
      <c r="M8" s="2">
        <v>171.01</v>
      </c>
      <c r="N8" s="2">
        <v>233.04</v>
      </c>
      <c r="O8" s="2">
        <v>134.84</v>
      </c>
      <c r="P8" s="2">
        <v>0.85450000000000004</v>
      </c>
      <c r="R8" s="2">
        <v>332.78</v>
      </c>
      <c r="S8" s="2">
        <v>661.07</v>
      </c>
      <c r="T8" s="2">
        <v>103.71</v>
      </c>
      <c r="U8" s="2">
        <v>-0.17100000000000001</v>
      </c>
    </row>
    <row r="9" spans="2:21" x14ac:dyDescent="0.25">
      <c r="B9" s="2">
        <v>10</v>
      </c>
      <c r="C9" s="2" t="s">
        <v>9</v>
      </c>
      <c r="D9" s="2" t="s">
        <v>12</v>
      </c>
      <c r="E9" s="2" t="s">
        <v>13</v>
      </c>
      <c r="G9" s="2">
        <v>0.55000000000000004</v>
      </c>
      <c r="H9" s="2">
        <v>1.02</v>
      </c>
      <c r="I9" s="2">
        <v>0.05</v>
      </c>
      <c r="J9" s="3">
        <v>1</v>
      </c>
      <c r="K9">
        <v>45</v>
      </c>
      <c r="M9" s="2">
        <v>477.4</v>
      </c>
      <c r="N9" s="2">
        <v>736.46</v>
      </c>
      <c r="O9" s="2">
        <v>155.06</v>
      </c>
      <c r="P9" s="2">
        <v>0.76290000000000002</v>
      </c>
      <c r="R9" s="2">
        <v>658.95</v>
      </c>
      <c r="S9" s="2">
        <v>998.33</v>
      </c>
      <c r="T9" s="2">
        <v>268.04000000000002</v>
      </c>
      <c r="U9" s="2">
        <v>0.56430000000000002</v>
      </c>
    </row>
    <row r="10" spans="2:21" x14ac:dyDescent="0.25">
      <c r="B10" s="2">
        <v>44</v>
      </c>
      <c r="C10" s="2" t="s">
        <v>14</v>
      </c>
      <c r="D10" s="2" t="s">
        <v>10</v>
      </c>
      <c r="E10" s="2" t="s">
        <v>15</v>
      </c>
      <c r="G10" s="2">
        <v>0.24</v>
      </c>
      <c r="H10" s="2">
        <v>0.5</v>
      </c>
      <c r="I10" s="2">
        <v>0.05</v>
      </c>
      <c r="J10" s="3">
        <v>1</v>
      </c>
      <c r="K10">
        <v>36</v>
      </c>
      <c r="M10" s="2">
        <v>169.63</v>
      </c>
      <c r="N10" s="2">
        <v>256.45</v>
      </c>
      <c r="O10" s="2">
        <v>71.84</v>
      </c>
      <c r="P10" s="2">
        <v>0.80700000000000005</v>
      </c>
      <c r="R10" s="2">
        <v>188.69</v>
      </c>
      <c r="S10" s="2">
        <v>355.43</v>
      </c>
      <c r="T10" s="2">
        <v>58.68</v>
      </c>
      <c r="U10" s="2">
        <v>0.62929999999999997</v>
      </c>
    </row>
    <row r="11" spans="2:21" x14ac:dyDescent="0.25">
      <c r="B11" s="2">
        <v>33</v>
      </c>
      <c r="C11" s="2" t="s">
        <v>16</v>
      </c>
      <c r="D11" s="2" t="s">
        <v>17</v>
      </c>
      <c r="E11" s="2" t="s">
        <v>18</v>
      </c>
      <c r="G11" s="2">
        <v>0.16</v>
      </c>
      <c r="H11" s="2">
        <v>0.26</v>
      </c>
      <c r="I11" s="2">
        <v>0.05</v>
      </c>
      <c r="J11" s="3">
        <v>1</v>
      </c>
      <c r="K11">
        <v>17</v>
      </c>
      <c r="M11" s="2">
        <v>105.61</v>
      </c>
      <c r="N11" s="2">
        <v>142.86000000000001</v>
      </c>
      <c r="O11" s="2">
        <v>255.75</v>
      </c>
      <c r="P11" s="2">
        <v>0.85609999999999997</v>
      </c>
      <c r="R11" s="2">
        <v>205.39</v>
      </c>
      <c r="S11" s="2">
        <v>278.83999999999997</v>
      </c>
      <c r="T11" s="2">
        <v>266.08999999999997</v>
      </c>
      <c r="U11" s="2">
        <v>0.4516</v>
      </c>
    </row>
    <row r="12" spans="2:21" x14ac:dyDescent="0.25">
      <c r="B12" s="2">
        <v>35</v>
      </c>
      <c r="C12" s="2" t="s">
        <v>16</v>
      </c>
      <c r="D12" s="2" t="s">
        <v>10</v>
      </c>
      <c r="E12" s="2" t="s">
        <v>11</v>
      </c>
      <c r="G12" s="2">
        <v>0.47</v>
      </c>
      <c r="H12" s="2">
        <v>1.33</v>
      </c>
      <c r="I12" s="2">
        <v>7.0000000000000007E-2</v>
      </c>
      <c r="J12" s="3">
        <v>1</v>
      </c>
      <c r="K12">
        <v>22</v>
      </c>
      <c r="M12" s="2">
        <v>573.44000000000005</v>
      </c>
      <c r="N12" s="2">
        <v>925.72</v>
      </c>
      <c r="O12" s="2">
        <v>949.33</v>
      </c>
      <c r="P12" s="2">
        <v>0.30759999999999998</v>
      </c>
      <c r="R12" s="2">
        <v>608.83000000000004</v>
      </c>
      <c r="S12" s="2">
        <v>1275.72</v>
      </c>
      <c r="T12" s="2">
        <v>139.97999999999999</v>
      </c>
      <c r="U12" s="2">
        <v>-0.315</v>
      </c>
    </row>
    <row r="13" spans="2:21" x14ac:dyDescent="0.25">
      <c r="B13" s="2">
        <v>11</v>
      </c>
      <c r="C13" s="2" t="s">
        <v>9</v>
      </c>
      <c r="D13" s="2" t="s">
        <v>20</v>
      </c>
      <c r="E13" s="2" t="s">
        <v>15</v>
      </c>
      <c r="G13" s="2">
        <v>5.05</v>
      </c>
      <c r="H13" s="2">
        <v>14.23</v>
      </c>
      <c r="I13" s="2">
        <v>0.21</v>
      </c>
      <c r="J13" s="3">
        <v>1</v>
      </c>
      <c r="K13">
        <v>45</v>
      </c>
      <c r="M13" s="2">
        <v>681.83</v>
      </c>
      <c r="N13" s="2">
        <v>1090.02</v>
      </c>
      <c r="O13" s="2">
        <v>35.979999999999997</v>
      </c>
      <c r="P13" s="2">
        <v>0.75660000000000005</v>
      </c>
      <c r="R13" s="2">
        <v>998.01</v>
      </c>
      <c r="S13" s="2">
        <v>1476.77</v>
      </c>
      <c r="T13" s="2">
        <v>57.09</v>
      </c>
      <c r="U13" s="2">
        <v>0.55320000000000003</v>
      </c>
    </row>
    <row r="14" spans="2:21" x14ac:dyDescent="0.25">
      <c r="B14" s="2">
        <v>15</v>
      </c>
      <c r="C14" s="2" t="s">
        <v>21</v>
      </c>
      <c r="D14" s="2" t="s">
        <v>17</v>
      </c>
      <c r="E14" s="2" t="s">
        <v>18</v>
      </c>
      <c r="G14" s="2">
        <v>6.41</v>
      </c>
      <c r="H14" s="2">
        <v>16.79</v>
      </c>
      <c r="I14" s="2">
        <v>0.44</v>
      </c>
      <c r="J14" s="3">
        <v>0.99990000000000001</v>
      </c>
      <c r="K14">
        <v>35</v>
      </c>
      <c r="M14" s="2">
        <v>459.56</v>
      </c>
      <c r="N14" s="2">
        <v>752.29</v>
      </c>
      <c r="O14" s="2">
        <v>70.95</v>
      </c>
      <c r="P14" s="2">
        <v>0.8145</v>
      </c>
      <c r="R14" s="2">
        <v>681.52</v>
      </c>
      <c r="S14" s="2">
        <v>1352.5</v>
      </c>
      <c r="T14" s="2">
        <v>107.06</v>
      </c>
      <c r="U14" s="2">
        <v>0.40029999999999999</v>
      </c>
    </row>
    <row r="15" spans="2:21" x14ac:dyDescent="0.25">
      <c r="B15" s="2">
        <v>2</v>
      </c>
      <c r="C15" s="2" t="s">
        <v>9</v>
      </c>
      <c r="D15" s="2" t="s">
        <v>10</v>
      </c>
      <c r="E15" s="2" t="s">
        <v>23</v>
      </c>
      <c r="G15" s="2">
        <v>0.15</v>
      </c>
      <c r="H15" s="2">
        <v>0.26</v>
      </c>
      <c r="I15" s="2">
        <v>0.49</v>
      </c>
      <c r="J15" s="3">
        <v>0.99990000000000001</v>
      </c>
      <c r="K15">
        <v>10</v>
      </c>
      <c r="M15" s="2">
        <v>11.82</v>
      </c>
      <c r="N15" s="2">
        <v>14.1</v>
      </c>
      <c r="O15" s="2">
        <v>45.4</v>
      </c>
      <c r="P15" s="2">
        <v>0.78459999999999996</v>
      </c>
      <c r="R15" s="2">
        <v>19.02</v>
      </c>
      <c r="S15" s="2">
        <v>27.93</v>
      </c>
      <c r="T15" s="2">
        <v>98.07</v>
      </c>
      <c r="U15" s="2">
        <v>0.15479999999999999</v>
      </c>
    </row>
    <row r="16" spans="2:21" x14ac:dyDescent="0.25">
      <c r="B16" s="2">
        <v>16</v>
      </c>
      <c r="C16" s="2" t="s">
        <v>21</v>
      </c>
      <c r="D16" s="2" t="s">
        <v>24</v>
      </c>
      <c r="E16" s="2" t="s">
        <v>15</v>
      </c>
      <c r="G16" s="2">
        <v>6.03</v>
      </c>
      <c r="H16" s="2">
        <v>13.92</v>
      </c>
      <c r="I16" s="2">
        <v>0.6</v>
      </c>
      <c r="J16" s="3">
        <v>0.99990000000000001</v>
      </c>
      <c r="K16">
        <v>42</v>
      </c>
      <c r="M16" s="2">
        <v>187.44</v>
      </c>
      <c r="N16" s="2">
        <v>323.06</v>
      </c>
      <c r="O16" s="2">
        <v>48.75</v>
      </c>
      <c r="P16" s="2">
        <v>0.94</v>
      </c>
      <c r="R16" s="2">
        <v>578.1</v>
      </c>
      <c r="S16" s="2">
        <v>991.39</v>
      </c>
      <c r="T16" s="2">
        <v>119.71</v>
      </c>
      <c r="U16" s="2">
        <v>0.43469999999999998</v>
      </c>
    </row>
    <row r="17" spans="2:21" x14ac:dyDescent="0.25">
      <c r="B17" s="2">
        <v>53</v>
      </c>
      <c r="C17" s="2" t="s">
        <v>25</v>
      </c>
      <c r="D17" s="2" t="s">
        <v>12</v>
      </c>
      <c r="E17" s="2" t="s">
        <v>23</v>
      </c>
      <c r="G17" s="2">
        <v>0.87</v>
      </c>
      <c r="H17" s="2">
        <v>1.51</v>
      </c>
      <c r="I17" s="2">
        <v>0.64</v>
      </c>
      <c r="J17" s="3">
        <v>0.99990000000000001</v>
      </c>
      <c r="K17">
        <v>19</v>
      </c>
      <c r="M17" s="2">
        <v>39.549999999999997</v>
      </c>
      <c r="N17" s="2">
        <v>51.12</v>
      </c>
      <c r="O17" s="2">
        <v>36.44</v>
      </c>
      <c r="P17" s="2">
        <v>0.87119999999999997</v>
      </c>
      <c r="R17" s="2">
        <v>55.52</v>
      </c>
      <c r="S17" s="2">
        <v>100.86</v>
      </c>
      <c r="T17" s="2">
        <v>67.849999999999994</v>
      </c>
      <c r="U17" s="2">
        <v>0.49859999999999999</v>
      </c>
    </row>
    <row r="18" spans="2:21" x14ac:dyDescent="0.25">
      <c r="B18" s="2">
        <v>55</v>
      </c>
      <c r="C18" s="2" t="s">
        <v>25</v>
      </c>
      <c r="D18" s="2" t="s">
        <v>20</v>
      </c>
      <c r="E18" s="2" t="s">
        <v>15</v>
      </c>
      <c r="G18" s="2">
        <v>0.97</v>
      </c>
      <c r="H18" s="2">
        <v>1.73</v>
      </c>
      <c r="I18" s="2">
        <v>1.58</v>
      </c>
      <c r="J18" s="3">
        <v>0.99919999999999998</v>
      </c>
      <c r="K18">
        <v>22</v>
      </c>
      <c r="M18" s="2">
        <v>35.22</v>
      </c>
      <c r="N18" s="2">
        <v>45.06</v>
      </c>
      <c r="O18" s="2">
        <v>102.57</v>
      </c>
      <c r="P18" s="2">
        <v>0.48830000000000001</v>
      </c>
      <c r="R18" s="2">
        <v>46.18</v>
      </c>
      <c r="S18" s="2">
        <v>57.56</v>
      </c>
      <c r="T18" s="2">
        <v>140.33000000000001</v>
      </c>
      <c r="U18" s="2">
        <v>0.16520000000000001</v>
      </c>
    </row>
    <row r="19" spans="2:21" x14ac:dyDescent="0.25">
      <c r="B19" s="2">
        <v>36</v>
      </c>
      <c r="C19" s="2" t="s">
        <v>16</v>
      </c>
      <c r="D19" s="2" t="s">
        <v>27</v>
      </c>
      <c r="E19" s="2" t="s">
        <v>15</v>
      </c>
      <c r="G19" s="2">
        <v>8.11</v>
      </c>
      <c r="H19" s="2">
        <v>15.28</v>
      </c>
      <c r="I19" s="2">
        <v>2.13</v>
      </c>
      <c r="J19" s="3">
        <v>0.99919999999999998</v>
      </c>
      <c r="K19">
        <v>27</v>
      </c>
      <c r="M19" s="2">
        <v>105.4</v>
      </c>
      <c r="N19" s="2">
        <v>192.67</v>
      </c>
      <c r="O19" s="2">
        <v>50.06</v>
      </c>
      <c r="P19" s="2">
        <v>0.86939999999999995</v>
      </c>
      <c r="R19" s="2">
        <v>166.92</v>
      </c>
      <c r="S19" s="2">
        <v>246.37</v>
      </c>
      <c r="T19" s="2">
        <v>91.02</v>
      </c>
      <c r="U19" s="2">
        <v>0.78649999999999998</v>
      </c>
    </row>
    <row r="20" spans="2:21" x14ac:dyDescent="0.25">
      <c r="B20" s="2">
        <v>17</v>
      </c>
      <c r="C20" s="2" t="s">
        <v>21</v>
      </c>
      <c r="D20" s="2" t="s">
        <v>10</v>
      </c>
      <c r="E20" s="2" t="s">
        <v>15</v>
      </c>
      <c r="G20" s="2">
        <v>94.52</v>
      </c>
      <c r="H20" s="2">
        <v>174.86</v>
      </c>
      <c r="I20" s="2">
        <v>2.97</v>
      </c>
      <c r="J20" s="3">
        <v>0.99929999999999997</v>
      </c>
      <c r="K20">
        <v>45</v>
      </c>
      <c r="M20" s="2">
        <v>1472.76</v>
      </c>
      <c r="N20" s="2">
        <v>2699.19</v>
      </c>
      <c r="O20" s="2">
        <v>72.650000000000006</v>
      </c>
      <c r="P20" s="2">
        <v>0.83679999999999999</v>
      </c>
      <c r="R20" s="2">
        <v>2053.23</v>
      </c>
      <c r="S20" s="2">
        <v>3885.94</v>
      </c>
      <c r="T20" s="2">
        <v>133.08000000000001</v>
      </c>
      <c r="U20" s="2">
        <v>0.66169999999999995</v>
      </c>
    </row>
    <row r="21" spans="2:21" x14ac:dyDescent="0.25">
      <c r="B21" s="2">
        <v>25</v>
      </c>
      <c r="C21" s="2" t="s">
        <v>21</v>
      </c>
      <c r="D21" s="2" t="s">
        <v>27</v>
      </c>
      <c r="E21" s="2" t="s">
        <v>11</v>
      </c>
      <c r="G21" s="2">
        <v>51.39</v>
      </c>
      <c r="H21" s="2">
        <v>94.91</v>
      </c>
      <c r="I21" s="2">
        <v>8.5399999999999991</v>
      </c>
      <c r="J21" s="3">
        <v>0.99070000000000003</v>
      </c>
      <c r="K21">
        <v>21</v>
      </c>
      <c r="M21" s="2">
        <v>491.79</v>
      </c>
      <c r="N21" s="2">
        <v>647.37</v>
      </c>
      <c r="O21" s="2">
        <v>377.67</v>
      </c>
      <c r="P21" s="2">
        <v>0.56520000000000004</v>
      </c>
      <c r="R21" s="2">
        <v>735.03</v>
      </c>
      <c r="S21" s="2">
        <v>877.45</v>
      </c>
      <c r="T21" s="2">
        <v>628.88</v>
      </c>
      <c r="U21" s="2">
        <v>0.20119999999999999</v>
      </c>
    </row>
    <row r="22" spans="2:21" x14ac:dyDescent="0.25">
      <c r="B22" s="2">
        <v>9</v>
      </c>
      <c r="C22" s="2" t="s">
        <v>9</v>
      </c>
      <c r="D22" s="2" t="s">
        <v>12</v>
      </c>
      <c r="E22" s="2" t="s">
        <v>23</v>
      </c>
      <c r="G22" s="2">
        <v>152.38</v>
      </c>
      <c r="H22" s="2">
        <v>253.43</v>
      </c>
      <c r="I22" s="2">
        <v>8.68</v>
      </c>
      <c r="J22" s="3">
        <v>0.97860000000000003</v>
      </c>
      <c r="K22">
        <v>45</v>
      </c>
      <c r="M22" s="2">
        <v>560.12</v>
      </c>
      <c r="N22" s="2">
        <v>813.74</v>
      </c>
      <c r="O22" s="2">
        <v>39.44</v>
      </c>
      <c r="P22" s="2">
        <v>0.77949999999999997</v>
      </c>
      <c r="R22" s="2">
        <v>818.02</v>
      </c>
      <c r="S22" s="2">
        <v>1098.49</v>
      </c>
      <c r="T22" s="2">
        <v>57.61</v>
      </c>
      <c r="U22" s="2">
        <v>0.59819999999999995</v>
      </c>
    </row>
    <row r="23" spans="2:21" x14ac:dyDescent="0.25">
      <c r="B23" s="2">
        <v>13</v>
      </c>
      <c r="C23" s="2" t="s">
        <v>21</v>
      </c>
      <c r="D23" s="2" t="s">
        <v>28</v>
      </c>
      <c r="E23" s="2" t="s">
        <v>29</v>
      </c>
      <c r="G23" s="2">
        <v>62.59</v>
      </c>
      <c r="H23" s="2">
        <v>121.35</v>
      </c>
      <c r="I23" s="2">
        <v>15.86</v>
      </c>
      <c r="J23" s="3">
        <v>0.93910000000000005</v>
      </c>
      <c r="K23">
        <v>26</v>
      </c>
      <c r="M23" s="2">
        <v>215.24</v>
      </c>
      <c r="N23" s="2">
        <v>363.79</v>
      </c>
      <c r="O23" s="2">
        <v>88.4</v>
      </c>
      <c r="P23" s="2">
        <v>0.45229999999999998</v>
      </c>
      <c r="R23" s="2">
        <v>201.53</v>
      </c>
      <c r="S23" s="2">
        <v>398.68</v>
      </c>
      <c r="T23" s="2">
        <v>89.7</v>
      </c>
      <c r="U23" s="2">
        <v>0.3422</v>
      </c>
    </row>
    <row r="24" spans="2:21" x14ac:dyDescent="0.25">
      <c r="B24" s="2">
        <v>51</v>
      </c>
      <c r="C24" s="2" t="s">
        <v>25</v>
      </c>
      <c r="D24" s="2" t="s">
        <v>27</v>
      </c>
      <c r="E24" s="2" t="s">
        <v>15</v>
      </c>
      <c r="G24" s="2">
        <v>53.38</v>
      </c>
      <c r="H24" s="2">
        <v>99.43</v>
      </c>
      <c r="I24" s="2">
        <v>19.010000000000002</v>
      </c>
      <c r="J24" s="3">
        <v>0.96450000000000002</v>
      </c>
      <c r="K24">
        <v>20</v>
      </c>
      <c r="M24" s="2">
        <v>198.95</v>
      </c>
      <c r="N24" s="2">
        <v>306.77999999999997</v>
      </c>
      <c r="O24" s="2">
        <v>177.36</v>
      </c>
      <c r="P24" s="2">
        <v>0.6623</v>
      </c>
      <c r="R24" s="2">
        <v>2.5099999999999998</v>
      </c>
      <c r="S24" s="2">
        <v>3.49</v>
      </c>
      <c r="T24" s="2">
        <v>1.1299999999999999</v>
      </c>
      <c r="U24" s="2">
        <v>1</v>
      </c>
    </row>
    <row r="25" spans="2:21" x14ac:dyDescent="0.25">
      <c r="B25" s="2">
        <v>45</v>
      </c>
      <c r="C25" s="2" t="s">
        <v>14</v>
      </c>
      <c r="D25" s="2" t="s">
        <v>27</v>
      </c>
      <c r="E25" s="2" t="s">
        <v>15</v>
      </c>
      <c r="G25" s="2">
        <v>308.52999999999997</v>
      </c>
      <c r="H25" s="2">
        <v>599.25</v>
      </c>
      <c r="I25" s="2">
        <v>24.47</v>
      </c>
      <c r="J25" s="3">
        <v>0.93430000000000002</v>
      </c>
      <c r="K25">
        <v>35</v>
      </c>
      <c r="M25" s="2">
        <v>613.80999999999995</v>
      </c>
      <c r="N25" s="2">
        <v>1208.53</v>
      </c>
      <c r="O25" s="2">
        <v>48.75</v>
      </c>
      <c r="P25" s="2">
        <v>0.7329</v>
      </c>
      <c r="R25" s="2">
        <v>881.44</v>
      </c>
      <c r="S25" s="2">
        <v>1765.33</v>
      </c>
      <c r="T25" s="2">
        <v>58.22</v>
      </c>
      <c r="U25" s="2">
        <v>0.43</v>
      </c>
    </row>
    <row r="26" spans="2:21" x14ac:dyDescent="0.25">
      <c r="B26" s="2">
        <v>37</v>
      </c>
      <c r="C26" s="2" t="s">
        <v>16</v>
      </c>
      <c r="D26" s="2" t="s">
        <v>12</v>
      </c>
      <c r="E26" s="2" t="s">
        <v>31</v>
      </c>
      <c r="G26" s="2">
        <v>56.64</v>
      </c>
      <c r="H26" s="2">
        <v>164.52</v>
      </c>
      <c r="I26" s="2">
        <v>24.64</v>
      </c>
      <c r="J26" s="3">
        <v>0.92969999999999997</v>
      </c>
      <c r="K26">
        <v>34</v>
      </c>
      <c r="M26" s="2">
        <v>154.01</v>
      </c>
      <c r="N26" s="2">
        <v>280.06</v>
      </c>
      <c r="O26" s="2">
        <v>112.49</v>
      </c>
      <c r="P26" s="2">
        <v>0.79630000000000001</v>
      </c>
      <c r="R26" s="2">
        <v>242.69</v>
      </c>
      <c r="S26" s="2">
        <v>442.09</v>
      </c>
      <c r="T26" s="2">
        <v>211.8</v>
      </c>
      <c r="U26" s="2">
        <v>0.49249999999999999</v>
      </c>
    </row>
    <row r="27" spans="2:21" x14ac:dyDescent="0.25">
      <c r="B27" s="2">
        <v>32</v>
      </c>
      <c r="C27" s="2" t="s">
        <v>21</v>
      </c>
      <c r="D27" s="2" t="s">
        <v>20</v>
      </c>
      <c r="E27" s="2" t="s">
        <v>11</v>
      </c>
      <c r="G27" s="2">
        <v>714.03</v>
      </c>
      <c r="H27" s="2">
        <v>2123.17</v>
      </c>
      <c r="I27" s="4">
        <v>25</v>
      </c>
      <c r="J27" s="3">
        <v>0.85470000000000002</v>
      </c>
      <c r="K27">
        <v>45</v>
      </c>
      <c r="M27" s="2">
        <v>1027</v>
      </c>
      <c r="N27" s="2">
        <v>1680.85</v>
      </c>
      <c r="O27" s="2">
        <v>177.55</v>
      </c>
      <c r="P27" s="2">
        <v>0.90890000000000004</v>
      </c>
      <c r="R27" s="2">
        <v>2277.86</v>
      </c>
      <c r="S27" s="2">
        <v>4620.38</v>
      </c>
      <c r="T27" s="2">
        <v>192.12</v>
      </c>
      <c r="U27" s="2">
        <v>0.31169999999999998</v>
      </c>
    </row>
    <row r="28" spans="2:21" x14ac:dyDescent="0.25">
      <c r="B28" s="2">
        <v>41</v>
      </c>
      <c r="C28" s="2" t="s">
        <v>14</v>
      </c>
      <c r="D28" s="2" t="s">
        <v>17</v>
      </c>
      <c r="E28" s="2" t="s">
        <v>32</v>
      </c>
      <c r="G28" s="2">
        <v>22.81</v>
      </c>
      <c r="H28" s="2">
        <v>38.619999999999997</v>
      </c>
      <c r="I28" s="2">
        <v>30.69</v>
      </c>
      <c r="J28" s="3">
        <v>0.96060000000000001</v>
      </c>
      <c r="K28">
        <v>17</v>
      </c>
      <c r="M28" s="2">
        <v>73.08</v>
      </c>
      <c r="N28" s="2">
        <v>108.5</v>
      </c>
      <c r="O28" s="2">
        <v>188.71</v>
      </c>
      <c r="P28" s="2">
        <v>0.68879999999999997</v>
      </c>
      <c r="R28" s="2">
        <v>123.86</v>
      </c>
      <c r="S28" s="2">
        <v>194.83</v>
      </c>
      <c r="T28" s="2">
        <v>204.77</v>
      </c>
      <c r="U28" s="2">
        <v>-3.3999999999999998E-3</v>
      </c>
    </row>
    <row r="29" spans="2:21" x14ac:dyDescent="0.25">
      <c r="B29" s="2">
        <v>8</v>
      </c>
      <c r="C29" s="2" t="s">
        <v>9</v>
      </c>
      <c r="D29" s="2" t="s">
        <v>12</v>
      </c>
      <c r="E29" s="2" t="s">
        <v>34</v>
      </c>
      <c r="G29" s="2">
        <v>123.24</v>
      </c>
      <c r="H29" s="2">
        <v>186.58</v>
      </c>
      <c r="I29" s="2">
        <v>31.31</v>
      </c>
      <c r="J29" s="3">
        <v>0.95509999999999995</v>
      </c>
      <c r="K29">
        <v>41</v>
      </c>
      <c r="M29" s="2">
        <v>315.07</v>
      </c>
      <c r="N29" s="2">
        <v>446.93</v>
      </c>
      <c r="O29" s="2">
        <v>151.44999999999999</v>
      </c>
      <c r="P29" s="2">
        <v>0.74219999999999997</v>
      </c>
      <c r="R29" s="2">
        <v>494.93</v>
      </c>
      <c r="S29" s="2">
        <v>783.2</v>
      </c>
      <c r="T29" s="2">
        <v>208.23</v>
      </c>
      <c r="U29" s="2">
        <v>0.2082</v>
      </c>
    </row>
    <row r="30" spans="2:21" x14ac:dyDescent="0.25">
      <c r="B30" s="2">
        <v>43</v>
      </c>
      <c r="C30" s="2" t="s">
        <v>14</v>
      </c>
      <c r="D30" s="2" t="s">
        <v>24</v>
      </c>
      <c r="E30" s="2" t="s">
        <v>15</v>
      </c>
      <c r="G30" s="2">
        <v>60.42</v>
      </c>
      <c r="H30" s="2">
        <v>104.77</v>
      </c>
      <c r="I30" s="2">
        <v>31.52</v>
      </c>
      <c r="J30" s="3">
        <v>0.96409999999999996</v>
      </c>
      <c r="K30">
        <v>34</v>
      </c>
      <c r="M30" s="2">
        <v>87.82</v>
      </c>
      <c r="N30" s="2">
        <v>136.41</v>
      </c>
      <c r="O30" s="2">
        <v>80.63</v>
      </c>
      <c r="P30" s="2">
        <v>0.93910000000000005</v>
      </c>
      <c r="R30" s="2">
        <v>284.93</v>
      </c>
      <c r="S30" s="2">
        <v>560.26</v>
      </c>
      <c r="T30" s="2">
        <v>85.17</v>
      </c>
      <c r="U30" s="2">
        <v>-2.69E-2</v>
      </c>
    </row>
    <row r="31" spans="2:21" x14ac:dyDescent="0.25">
      <c r="B31" s="2">
        <v>56</v>
      </c>
      <c r="C31" s="2" t="s">
        <v>35</v>
      </c>
      <c r="D31" s="2" t="s">
        <v>12</v>
      </c>
      <c r="E31" s="2" t="s">
        <v>13</v>
      </c>
      <c r="G31" s="2">
        <v>97.66</v>
      </c>
      <c r="H31" s="2">
        <v>157.72</v>
      </c>
      <c r="I31" s="2">
        <v>34.18</v>
      </c>
      <c r="J31" s="3">
        <v>0.93840000000000001</v>
      </c>
      <c r="K31">
        <v>41</v>
      </c>
      <c r="M31" s="2">
        <v>229.75</v>
      </c>
      <c r="N31" s="2">
        <v>386.46</v>
      </c>
      <c r="O31" s="2">
        <v>177.75</v>
      </c>
      <c r="P31" s="2">
        <v>0.63009999999999999</v>
      </c>
      <c r="R31" s="2">
        <v>147.52000000000001</v>
      </c>
      <c r="S31" s="2">
        <v>449.37</v>
      </c>
      <c r="T31" s="2">
        <v>21.97</v>
      </c>
      <c r="U31" s="2">
        <v>0.49990000000000001</v>
      </c>
    </row>
    <row r="32" spans="2:21" x14ac:dyDescent="0.25">
      <c r="B32" s="2">
        <v>0</v>
      </c>
      <c r="C32" s="2" t="s">
        <v>9</v>
      </c>
      <c r="D32" s="2" t="s">
        <v>17</v>
      </c>
      <c r="E32" s="2" t="s">
        <v>32</v>
      </c>
      <c r="G32" s="2">
        <v>64.02</v>
      </c>
      <c r="H32" s="2">
        <v>109.4</v>
      </c>
      <c r="I32" s="2">
        <v>38.049999999999997</v>
      </c>
      <c r="J32" s="3">
        <v>0.82099999999999995</v>
      </c>
      <c r="K32">
        <v>23</v>
      </c>
      <c r="M32" s="2">
        <v>145.04</v>
      </c>
      <c r="N32" s="2">
        <v>195.23</v>
      </c>
      <c r="O32" s="2">
        <v>119.93</v>
      </c>
      <c r="P32" s="2">
        <v>0.42980000000000002</v>
      </c>
      <c r="R32" s="2">
        <v>116.24</v>
      </c>
      <c r="S32" s="2">
        <v>179.13</v>
      </c>
      <c r="T32" s="2">
        <v>82.93</v>
      </c>
      <c r="U32" s="2">
        <v>0.52</v>
      </c>
    </row>
    <row r="33" spans="2:21" x14ac:dyDescent="0.25">
      <c r="B33" s="2">
        <v>22</v>
      </c>
      <c r="C33" s="2" t="s">
        <v>21</v>
      </c>
      <c r="D33" s="2" t="s">
        <v>27</v>
      </c>
      <c r="E33" s="2" t="s">
        <v>15</v>
      </c>
      <c r="G33" s="2">
        <v>2116.13</v>
      </c>
      <c r="H33" s="2">
        <v>7154.35</v>
      </c>
      <c r="I33" s="2">
        <v>39.24</v>
      </c>
      <c r="J33" s="3">
        <v>0.62009999999999998</v>
      </c>
      <c r="K33">
        <v>43</v>
      </c>
      <c r="M33" s="2">
        <v>2443.4499999999998</v>
      </c>
      <c r="N33" s="2">
        <v>7016.9</v>
      </c>
      <c r="O33" s="2">
        <v>908.01</v>
      </c>
      <c r="P33" s="2">
        <v>0.63449999999999995</v>
      </c>
      <c r="R33" s="2">
        <v>5373.85</v>
      </c>
      <c r="S33" s="2">
        <v>12715.88</v>
      </c>
      <c r="T33" s="2">
        <v>138.86000000000001</v>
      </c>
      <c r="U33" s="2">
        <v>-0.20019999999999999</v>
      </c>
    </row>
    <row r="34" spans="2:21" x14ac:dyDescent="0.25">
      <c r="B34" s="2">
        <v>1</v>
      </c>
      <c r="C34" s="2" t="s">
        <v>9</v>
      </c>
      <c r="D34" s="2" t="s">
        <v>10</v>
      </c>
      <c r="E34" s="2" t="s">
        <v>15</v>
      </c>
      <c r="G34" s="2">
        <v>203.46</v>
      </c>
      <c r="H34" s="2">
        <v>396.25</v>
      </c>
      <c r="I34" s="2">
        <v>42.93</v>
      </c>
      <c r="J34" s="3">
        <v>0.88549999999999995</v>
      </c>
      <c r="K34">
        <v>43</v>
      </c>
      <c r="M34" s="2">
        <v>199.55</v>
      </c>
      <c r="N34" s="2">
        <v>362.74</v>
      </c>
      <c r="O34" s="2">
        <v>126.04</v>
      </c>
      <c r="P34" s="2">
        <v>0.90400000000000003</v>
      </c>
      <c r="R34" s="2">
        <v>471.69</v>
      </c>
      <c r="S34" s="2">
        <v>885.64</v>
      </c>
      <c r="T34" s="2">
        <v>158.55000000000001</v>
      </c>
      <c r="U34" s="2">
        <v>0.42799999999999999</v>
      </c>
    </row>
    <row r="35" spans="2:21" x14ac:dyDescent="0.25">
      <c r="B35" s="2">
        <v>31</v>
      </c>
      <c r="C35" s="2" t="s">
        <v>21</v>
      </c>
      <c r="D35" s="2" t="s">
        <v>20</v>
      </c>
      <c r="E35" s="2" t="s">
        <v>37</v>
      </c>
      <c r="G35" s="2">
        <v>17.739999999999998</v>
      </c>
      <c r="H35" s="2">
        <v>30.41</v>
      </c>
      <c r="I35" s="2">
        <v>53.44</v>
      </c>
      <c r="J35" s="3">
        <v>0.42899999999999999</v>
      </c>
      <c r="K35">
        <v>11</v>
      </c>
      <c r="M35" s="2">
        <v>25.66</v>
      </c>
      <c r="N35" s="2">
        <v>37.94</v>
      </c>
      <c r="O35" s="2">
        <v>75.790000000000006</v>
      </c>
      <c r="P35" s="2">
        <v>0.11119999999999999</v>
      </c>
      <c r="R35" s="2">
        <v>0.1</v>
      </c>
      <c r="S35" s="2">
        <v>0.14000000000000001</v>
      </c>
      <c r="T35" s="2">
        <v>0.57999999999999996</v>
      </c>
      <c r="U35" s="2">
        <v>1</v>
      </c>
    </row>
    <row r="36" spans="2:21" x14ac:dyDescent="0.25">
      <c r="B36" s="2">
        <v>50</v>
      </c>
      <c r="C36" s="2" t="s">
        <v>25</v>
      </c>
      <c r="D36" s="2" t="s">
        <v>10</v>
      </c>
      <c r="E36" s="2" t="s">
        <v>15</v>
      </c>
      <c r="G36" s="2">
        <v>141.33000000000001</v>
      </c>
      <c r="H36" s="2">
        <v>303.45</v>
      </c>
      <c r="I36" s="2">
        <v>53.67</v>
      </c>
      <c r="J36" s="3">
        <v>0.74650000000000005</v>
      </c>
      <c r="K36">
        <v>32</v>
      </c>
      <c r="M36" s="2">
        <v>242.8</v>
      </c>
      <c r="N36" s="2">
        <v>449.7</v>
      </c>
      <c r="O36" s="2">
        <v>245.53</v>
      </c>
      <c r="P36" s="2">
        <v>0.44319999999999998</v>
      </c>
      <c r="R36" s="2">
        <v>210.62</v>
      </c>
      <c r="S36" s="2">
        <v>402.07</v>
      </c>
      <c r="T36" s="2">
        <v>176.54</v>
      </c>
      <c r="U36" s="2">
        <v>0.55489999999999995</v>
      </c>
    </row>
    <row r="37" spans="2:21" x14ac:dyDescent="0.25">
      <c r="B37" s="2">
        <v>20</v>
      </c>
      <c r="C37" s="2" t="s">
        <v>21</v>
      </c>
      <c r="D37" s="2" t="s">
        <v>39</v>
      </c>
      <c r="E37" s="2" t="s">
        <v>15</v>
      </c>
      <c r="G37" s="2">
        <v>17.04</v>
      </c>
      <c r="H37" s="2">
        <v>22.46</v>
      </c>
      <c r="I37" s="2">
        <v>54.76</v>
      </c>
      <c r="J37" s="3">
        <v>0.7016</v>
      </c>
      <c r="K37">
        <v>18</v>
      </c>
      <c r="M37" s="2">
        <v>27.75</v>
      </c>
      <c r="N37" s="2">
        <v>32.97</v>
      </c>
      <c r="O37" s="2">
        <v>75.11</v>
      </c>
      <c r="P37" s="2">
        <v>0.3569</v>
      </c>
      <c r="R37" s="2">
        <v>30.94</v>
      </c>
      <c r="S37" s="2">
        <v>37.5</v>
      </c>
      <c r="T37" s="2">
        <v>75.25</v>
      </c>
      <c r="U37" s="2">
        <v>0.16800000000000001</v>
      </c>
    </row>
    <row r="38" spans="2:21" x14ac:dyDescent="0.25">
      <c r="B38" s="2">
        <v>4</v>
      </c>
      <c r="C38" s="2" t="s">
        <v>9</v>
      </c>
      <c r="D38" s="2" t="s">
        <v>27</v>
      </c>
      <c r="E38" s="2" t="s">
        <v>15</v>
      </c>
      <c r="G38" s="2">
        <v>329.31</v>
      </c>
      <c r="H38" s="2">
        <v>574.44000000000005</v>
      </c>
      <c r="I38" s="2">
        <v>58.51</v>
      </c>
      <c r="J38" s="3">
        <v>0.84550000000000003</v>
      </c>
      <c r="K38">
        <v>37</v>
      </c>
      <c r="M38" s="2">
        <v>266.45</v>
      </c>
      <c r="N38" s="2">
        <v>468.16</v>
      </c>
      <c r="O38" s="2">
        <v>41.38</v>
      </c>
      <c r="P38" s="2">
        <v>0.89739999999999998</v>
      </c>
      <c r="R38" s="2">
        <v>564.94000000000005</v>
      </c>
      <c r="S38" s="2">
        <v>982.07</v>
      </c>
      <c r="T38" s="2">
        <v>86.43</v>
      </c>
      <c r="U38" s="2">
        <v>0.54849999999999999</v>
      </c>
    </row>
    <row r="39" spans="2:21" x14ac:dyDescent="0.25">
      <c r="B39" s="2">
        <v>29</v>
      </c>
      <c r="C39" s="2" t="s">
        <v>21</v>
      </c>
      <c r="D39" s="2" t="s">
        <v>12</v>
      </c>
      <c r="E39" s="2" t="s">
        <v>13</v>
      </c>
      <c r="G39" s="2">
        <v>855.39</v>
      </c>
      <c r="H39" s="2">
        <v>1455.13</v>
      </c>
      <c r="I39" s="2">
        <v>59.83</v>
      </c>
      <c r="J39" s="3">
        <v>0.75070000000000003</v>
      </c>
      <c r="K39">
        <v>45</v>
      </c>
      <c r="M39" s="2">
        <v>879.73</v>
      </c>
      <c r="N39" s="2">
        <v>1400.41</v>
      </c>
      <c r="O39" s="2">
        <v>69.64</v>
      </c>
      <c r="P39" s="2">
        <v>0.76910000000000001</v>
      </c>
      <c r="R39" s="2">
        <v>1285.76</v>
      </c>
      <c r="S39" s="2">
        <v>2269.36</v>
      </c>
      <c r="T39" s="2">
        <v>102.27</v>
      </c>
      <c r="U39" s="2">
        <v>0.39360000000000001</v>
      </c>
    </row>
    <row r="40" spans="2:21" x14ac:dyDescent="0.25">
      <c r="B40" s="2">
        <v>24</v>
      </c>
      <c r="C40" s="2" t="s">
        <v>21</v>
      </c>
      <c r="D40" s="2" t="s">
        <v>27</v>
      </c>
      <c r="E40" s="2" t="s">
        <v>40</v>
      </c>
      <c r="G40" s="2">
        <v>232.31</v>
      </c>
      <c r="H40" s="2">
        <v>390.76</v>
      </c>
      <c r="I40" s="2">
        <v>70.319999999999993</v>
      </c>
      <c r="J40" s="3">
        <v>0.82250000000000001</v>
      </c>
      <c r="K40">
        <v>33</v>
      </c>
      <c r="M40" s="2">
        <v>240.4</v>
      </c>
      <c r="N40" s="2">
        <v>387.74</v>
      </c>
      <c r="O40" s="2">
        <v>93.97</v>
      </c>
      <c r="P40" s="2">
        <v>0.82520000000000004</v>
      </c>
      <c r="R40" s="2">
        <v>395.04</v>
      </c>
      <c r="S40" s="2">
        <v>666.23</v>
      </c>
      <c r="T40" s="2">
        <v>200.26</v>
      </c>
      <c r="U40" s="2">
        <v>0.4839</v>
      </c>
    </row>
    <row r="41" spans="2:21" x14ac:dyDescent="0.25">
      <c r="B41" s="2">
        <v>5</v>
      </c>
      <c r="C41" s="2" t="s">
        <v>9</v>
      </c>
      <c r="D41" s="2" t="s">
        <v>27</v>
      </c>
      <c r="E41" s="2" t="s">
        <v>23</v>
      </c>
      <c r="G41" s="2">
        <v>50.86</v>
      </c>
      <c r="H41" s="2">
        <v>76.099999999999994</v>
      </c>
      <c r="I41" s="4">
        <v>75</v>
      </c>
      <c r="J41" s="3">
        <v>0.64959999999999996</v>
      </c>
      <c r="K41">
        <v>28</v>
      </c>
      <c r="M41" s="2">
        <v>65.42</v>
      </c>
      <c r="N41" s="2">
        <v>92.35</v>
      </c>
      <c r="O41" s="2">
        <v>145.9</v>
      </c>
      <c r="P41" s="2">
        <v>0.48399999999999999</v>
      </c>
      <c r="R41" s="2">
        <v>73.41</v>
      </c>
      <c r="S41" s="2">
        <v>111.72</v>
      </c>
      <c r="T41" s="2">
        <v>132.47</v>
      </c>
      <c r="U41" s="2">
        <v>0.24490000000000001</v>
      </c>
    </row>
    <row r="42" spans="2:21" x14ac:dyDescent="0.25">
      <c r="B42" s="2">
        <v>19</v>
      </c>
      <c r="C42" s="2" t="s">
        <v>21</v>
      </c>
      <c r="D42" s="2" t="s">
        <v>41</v>
      </c>
      <c r="E42" s="2" t="s">
        <v>42</v>
      </c>
      <c r="G42" s="2">
        <v>42.61</v>
      </c>
      <c r="H42" s="2">
        <v>73.78</v>
      </c>
      <c r="I42" s="2">
        <v>75.83</v>
      </c>
      <c r="J42" s="3">
        <v>0.48930000000000001</v>
      </c>
      <c r="K42">
        <v>16</v>
      </c>
      <c r="M42" s="2">
        <v>51.88</v>
      </c>
      <c r="N42" s="2">
        <v>81.64</v>
      </c>
      <c r="O42" s="2">
        <v>74.239999999999995</v>
      </c>
      <c r="P42" s="2">
        <v>0.37469999999999998</v>
      </c>
      <c r="R42" s="2">
        <v>44.11</v>
      </c>
      <c r="S42" s="2">
        <v>75.94</v>
      </c>
      <c r="T42" s="2">
        <v>77</v>
      </c>
      <c r="U42" s="2">
        <v>0.45889999999999997</v>
      </c>
    </row>
    <row r="43" spans="2:21" x14ac:dyDescent="0.25">
      <c r="B43" s="2">
        <v>23</v>
      </c>
      <c r="C43" s="2" t="s">
        <v>21</v>
      </c>
      <c r="D43" s="2" t="s">
        <v>27</v>
      </c>
      <c r="E43" s="2" t="s">
        <v>31</v>
      </c>
      <c r="G43" s="2">
        <v>39.76</v>
      </c>
      <c r="H43" s="2">
        <v>55.93</v>
      </c>
      <c r="I43" s="2">
        <v>78.819999999999993</v>
      </c>
      <c r="J43" s="3">
        <v>0.64129999999999998</v>
      </c>
      <c r="K43">
        <v>17</v>
      </c>
      <c r="M43" s="2">
        <v>39.33</v>
      </c>
      <c r="N43" s="2">
        <v>53.07</v>
      </c>
      <c r="O43" s="2">
        <v>80.81</v>
      </c>
      <c r="P43" s="2">
        <v>0.67710000000000004</v>
      </c>
      <c r="R43" s="2">
        <v>50.61</v>
      </c>
      <c r="S43" s="2">
        <v>66.430000000000007</v>
      </c>
      <c r="T43" s="2">
        <v>99.11</v>
      </c>
      <c r="U43" s="2">
        <v>0.49399999999999999</v>
      </c>
    </row>
    <row r="44" spans="2:21" x14ac:dyDescent="0.25">
      <c r="B44" s="2">
        <v>21</v>
      </c>
      <c r="C44" s="2" t="s">
        <v>21</v>
      </c>
      <c r="D44" s="2" t="s">
        <v>39</v>
      </c>
      <c r="E44" s="2" t="s">
        <v>31</v>
      </c>
      <c r="G44" s="2">
        <v>163.19999999999999</v>
      </c>
      <c r="H44" s="2">
        <v>450.33</v>
      </c>
      <c r="I44" s="2">
        <v>80.19</v>
      </c>
      <c r="J44" s="3">
        <v>0.3453</v>
      </c>
      <c r="K44">
        <v>29</v>
      </c>
      <c r="M44" s="2">
        <v>118.68</v>
      </c>
      <c r="N44" s="2">
        <v>276.02999999999997</v>
      </c>
      <c r="O44" s="2">
        <v>23.68</v>
      </c>
      <c r="P44" s="2">
        <v>0.754</v>
      </c>
      <c r="R44" s="2">
        <v>237.45</v>
      </c>
      <c r="S44" s="2">
        <v>548.49</v>
      </c>
      <c r="T44" s="2">
        <v>284.47000000000003</v>
      </c>
      <c r="U44" s="2">
        <v>2.87E-2</v>
      </c>
    </row>
    <row r="45" spans="2:21" x14ac:dyDescent="0.25">
      <c r="B45" s="2">
        <v>28</v>
      </c>
      <c r="C45" s="2" t="s">
        <v>21</v>
      </c>
      <c r="D45" s="2" t="s">
        <v>12</v>
      </c>
      <c r="E45" s="2" t="s">
        <v>44</v>
      </c>
      <c r="G45" s="2">
        <v>41.93</v>
      </c>
      <c r="H45" s="2">
        <v>52.69</v>
      </c>
      <c r="I45" s="2">
        <v>83.79</v>
      </c>
      <c r="J45" s="3">
        <v>0.54800000000000004</v>
      </c>
      <c r="K45">
        <v>13</v>
      </c>
      <c r="M45" s="2">
        <v>39.479999999999997</v>
      </c>
      <c r="N45" s="2">
        <v>47.74</v>
      </c>
      <c r="O45" s="2">
        <v>81.040000000000006</v>
      </c>
      <c r="P45" s="2">
        <v>0.62890000000000001</v>
      </c>
      <c r="R45" s="2">
        <v>38.9</v>
      </c>
      <c r="S45" s="2">
        <v>44.87</v>
      </c>
      <c r="T45" s="2">
        <v>72.75</v>
      </c>
      <c r="U45" s="2">
        <v>0.67230000000000001</v>
      </c>
    </row>
    <row r="46" spans="2:21" x14ac:dyDescent="0.25">
      <c r="B46" s="2">
        <v>26</v>
      </c>
      <c r="C46" s="2" t="s">
        <v>21</v>
      </c>
      <c r="D46" s="2" t="s">
        <v>12</v>
      </c>
      <c r="E46" s="2" t="s">
        <v>31</v>
      </c>
      <c r="G46" s="2">
        <v>1059.05</v>
      </c>
      <c r="H46" s="2">
        <v>2081.11</v>
      </c>
      <c r="I46" s="2">
        <v>86.68</v>
      </c>
      <c r="J46" s="3">
        <v>0.66349999999999998</v>
      </c>
      <c r="K46">
        <v>45</v>
      </c>
      <c r="M46" s="2">
        <v>1126.77</v>
      </c>
      <c r="N46" s="2">
        <v>2109.85</v>
      </c>
      <c r="O46" s="2">
        <v>99.2</v>
      </c>
      <c r="P46" s="2">
        <v>0.65410000000000001</v>
      </c>
      <c r="R46" s="2">
        <v>1504.1</v>
      </c>
      <c r="S46" s="2">
        <v>3093.31</v>
      </c>
      <c r="T46" s="2">
        <v>144.13</v>
      </c>
      <c r="U46" s="2">
        <v>0.25659999999999999</v>
      </c>
    </row>
    <row r="47" spans="2:21" x14ac:dyDescent="0.25">
      <c r="B47" s="2">
        <v>30</v>
      </c>
      <c r="C47" s="2" t="s">
        <v>21</v>
      </c>
      <c r="D47" s="2" t="s">
        <v>20</v>
      </c>
      <c r="E47" s="2" t="s">
        <v>15</v>
      </c>
      <c r="G47" s="2">
        <v>1367.03</v>
      </c>
      <c r="H47" s="2">
        <v>1828.54</v>
      </c>
      <c r="I47" s="2">
        <v>86.88</v>
      </c>
      <c r="J47" s="3">
        <v>0.4995</v>
      </c>
      <c r="K47">
        <v>45</v>
      </c>
      <c r="M47" s="2">
        <v>1261.1300000000001</v>
      </c>
      <c r="N47" s="2">
        <v>1719.7</v>
      </c>
      <c r="O47" s="2">
        <v>77.28</v>
      </c>
      <c r="P47" s="2">
        <v>0.55730000000000002</v>
      </c>
      <c r="R47" s="2">
        <v>1415.48</v>
      </c>
      <c r="S47" s="2">
        <v>1869.87</v>
      </c>
      <c r="T47" s="2">
        <v>83.58</v>
      </c>
      <c r="U47" s="2">
        <v>0.47660000000000002</v>
      </c>
    </row>
    <row r="48" spans="2:21" x14ac:dyDescent="0.25">
      <c r="B48" s="2">
        <v>6</v>
      </c>
      <c r="C48" s="2" t="s">
        <v>9</v>
      </c>
      <c r="D48" s="2" t="s">
        <v>27</v>
      </c>
      <c r="E48" s="2" t="s">
        <v>40</v>
      </c>
      <c r="G48" s="2">
        <v>257.12</v>
      </c>
      <c r="H48" s="2">
        <v>540.01</v>
      </c>
      <c r="I48" s="2">
        <v>92.15</v>
      </c>
      <c r="J48" s="3">
        <v>0.75160000000000005</v>
      </c>
      <c r="K48">
        <v>39</v>
      </c>
      <c r="M48" s="2">
        <v>181.75</v>
      </c>
      <c r="N48" s="2">
        <v>414.66</v>
      </c>
      <c r="O48" s="2">
        <v>115.25</v>
      </c>
      <c r="P48" s="2">
        <v>0.85350000000000004</v>
      </c>
      <c r="R48" s="2">
        <v>456.55</v>
      </c>
      <c r="S48" s="2">
        <v>747.29</v>
      </c>
      <c r="T48" s="2">
        <v>198.47</v>
      </c>
      <c r="U48" s="2">
        <v>0.5242</v>
      </c>
    </row>
    <row r="49" spans="2:21" x14ac:dyDescent="0.25">
      <c r="B49" s="2">
        <v>47</v>
      </c>
      <c r="C49" s="2" t="s">
        <v>14</v>
      </c>
      <c r="D49" s="2" t="s">
        <v>12</v>
      </c>
      <c r="E49" s="2" t="s">
        <v>13</v>
      </c>
      <c r="G49" s="2">
        <v>127.07</v>
      </c>
      <c r="H49" s="2">
        <v>192.1</v>
      </c>
      <c r="I49" s="2">
        <v>97.35</v>
      </c>
      <c r="J49" s="3">
        <v>0.49049999999999999</v>
      </c>
      <c r="K49">
        <v>36</v>
      </c>
      <c r="M49" s="2">
        <v>113.93</v>
      </c>
      <c r="N49" s="2">
        <v>158.33000000000001</v>
      </c>
      <c r="O49" s="2">
        <v>76.67</v>
      </c>
      <c r="P49" s="2">
        <v>0.65390000000000004</v>
      </c>
      <c r="R49" s="2">
        <v>191.01</v>
      </c>
      <c r="S49" s="2">
        <v>257.45999999999998</v>
      </c>
      <c r="T49" s="2">
        <v>151.46</v>
      </c>
      <c r="U49" s="2">
        <v>8.48E-2</v>
      </c>
    </row>
    <row r="50" spans="2:21" x14ac:dyDescent="0.25">
      <c r="B50" s="2">
        <v>42</v>
      </c>
      <c r="C50" s="2" t="s">
        <v>14</v>
      </c>
      <c r="D50" s="2" t="s">
        <v>17</v>
      </c>
      <c r="E50" s="2" t="s">
        <v>18</v>
      </c>
      <c r="G50" s="2">
        <v>238.15</v>
      </c>
      <c r="H50" s="2">
        <v>591.42999999999995</v>
      </c>
      <c r="I50" s="2">
        <v>108.34</v>
      </c>
      <c r="J50" s="3">
        <v>0.34889999999999999</v>
      </c>
      <c r="K50">
        <v>24</v>
      </c>
      <c r="M50" s="2">
        <v>294.64</v>
      </c>
      <c r="N50" s="2">
        <v>622.82000000000005</v>
      </c>
      <c r="O50" s="2">
        <v>319.60000000000002</v>
      </c>
      <c r="P50" s="2">
        <v>0.27789999999999998</v>
      </c>
      <c r="R50" s="2">
        <v>285.04000000000002</v>
      </c>
      <c r="S50" s="2">
        <v>646.63</v>
      </c>
      <c r="T50" s="2">
        <v>343.44</v>
      </c>
      <c r="U50" s="2">
        <v>0.22170000000000001</v>
      </c>
    </row>
    <row r="51" spans="2:21" x14ac:dyDescent="0.25">
      <c r="B51" s="2">
        <v>14</v>
      </c>
      <c r="C51" s="2" t="s">
        <v>21</v>
      </c>
      <c r="D51" s="2" t="s">
        <v>17</v>
      </c>
      <c r="E51" s="2" t="s">
        <v>32</v>
      </c>
      <c r="G51" s="2">
        <v>272.41000000000003</v>
      </c>
      <c r="H51" s="2">
        <v>669.3</v>
      </c>
      <c r="I51" s="2">
        <v>112.54</v>
      </c>
      <c r="J51" s="3">
        <v>0.52149999999999996</v>
      </c>
      <c r="K51">
        <v>33</v>
      </c>
      <c r="M51" s="2">
        <v>303.36</v>
      </c>
      <c r="N51" s="2">
        <v>550.42999999999995</v>
      </c>
      <c r="O51" s="2">
        <v>204.41</v>
      </c>
      <c r="P51" s="2">
        <v>0.6764</v>
      </c>
      <c r="R51" s="2">
        <v>399.3</v>
      </c>
      <c r="S51" s="2">
        <v>831.32</v>
      </c>
      <c r="T51" s="2">
        <v>212.78</v>
      </c>
      <c r="U51" s="2">
        <v>0.26190000000000002</v>
      </c>
    </row>
    <row r="52" spans="2:21" x14ac:dyDescent="0.25">
      <c r="B52" s="2">
        <v>38</v>
      </c>
      <c r="C52" s="2" t="s">
        <v>16</v>
      </c>
      <c r="D52" s="2" t="s">
        <v>12</v>
      </c>
      <c r="E52" s="2" t="s">
        <v>23</v>
      </c>
      <c r="G52" s="2">
        <v>167.44</v>
      </c>
      <c r="H52" s="2">
        <v>363.18</v>
      </c>
      <c r="I52" s="2">
        <v>116.63</v>
      </c>
      <c r="J52" s="3">
        <v>0.29559999999999997</v>
      </c>
      <c r="K52">
        <v>30</v>
      </c>
      <c r="M52" s="2">
        <v>195.96</v>
      </c>
      <c r="N52" s="2">
        <v>372.52</v>
      </c>
      <c r="O52" s="2">
        <v>115.02</v>
      </c>
      <c r="P52" s="2">
        <v>0.25890000000000002</v>
      </c>
      <c r="R52" s="2">
        <v>211.8</v>
      </c>
      <c r="S52" s="2">
        <v>437.55</v>
      </c>
      <c r="T52" s="2">
        <v>109.88</v>
      </c>
      <c r="U52" s="2">
        <v>-2.2499999999999999E-2</v>
      </c>
    </row>
    <row r="53" spans="2:21" x14ac:dyDescent="0.25">
      <c r="B53" s="2">
        <v>12</v>
      </c>
      <c r="C53" s="2" t="s">
        <v>9</v>
      </c>
      <c r="D53" s="2" t="s">
        <v>20</v>
      </c>
      <c r="E53" s="2" t="s">
        <v>11</v>
      </c>
      <c r="G53" s="2">
        <v>292.91000000000003</v>
      </c>
      <c r="H53" s="2">
        <v>467.55</v>
      </c>
      <c r="I53" s="2">
        <v>121.45</v>
      </c>
      <c r="J53" s="3">
        <v>0.55730000000000002</v>
      </c>
      <c r="K53">
        <v>45</v>
      </c>
      <c r="M53" s="2">
        <v>142.30000000000001</v>
      </c>
      <c r="N53" s="2">
        <v>211.35</v>
      </c>
      <c r="O53" s="2">
        <v>65.27</v>
      </c>
      <c r="P53" s="2">
        <v>0.90949999999999998</v>
      </c>
      <c r="R53" s="2">
        <v>355.14</v>
      </c>
      <c r="S53" s="2">
        <v>577.83000000000004</v>
      </c>
      <c r="T53" s="2">
        <v>133.16999999999999</v>
      </c>
      <c r="U53" s="2">
        <v>0.32390000000000002</v>
      </c>
    </row>
  </sheetData>
  <mergeCells count="6">
    <mergeCell ref="G2:J2"/>
    <mergeCell ref="M2:P2"/>
    <mergeCell ref="R2:U2"/>
    <mergeCell ref="G6:J6"/>
    <mergeCell ref="M6:P6"/>
    <mergeCell ref="R6:U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BF8E-8679-407A-8564-78A42D4304CA}">
  <dimension ref="A1:I47"/>
  <sheetViews>
    <sheetView showGridLines="0" tabSelected="1" workbookViewId="0">
      <selection activeCell="D15" sqref="D15"/>
    </sheetView>
  </sheetViews>
  <sheetFormatPr baseColWidth="10" defaultRowHeight="15" x14ac:dyDescent="0.25"/>
  <cols>
    <col min="1" max="1" width="5.42578125" customWidth="1"/>
    <col min="4" max="4" width="12.7109375" customWidth="1"/>
    <col min="9" max="9" width="16.140625" bestFit="1" customWidth="1"/>
    <col min="10" max="10" width="2.140625" customWidth="1"/>
  </cols>
  <sheetData>
    <row r="1" spans="1:9" s="26" customFormat="1" x14ac:dyDescent="0.25">
      <c r="A1" s="25" t="s">
        <v>165</v>
      </c>
      <c r="B1" s="25" t="s">
        <v>0</v>
      </c>
      <c r="C1" s="25" t="s">
        <v>1</v>
      </c>
      <c r="D1" s="25" t="s">
        <v>2</v>
      </c>
      <c r="E1" s="27" t="s">
        <v>3</v>
      </c>
      <c r="F1" s="25" t="s">
        <v>4</v>
      </c>
      <c r="G1" s="25" t="s">
        <v>5</v>
      </c>
      <c r="H1" s="25" t="s">
        <v>6</v>
      </c>
      <c r="I1" s="25" t="s">
        <v>7</v>
      </c>
    </row>
    <row r="2" spans="1:9" x14ac:dyDescent="0.25">
      <c r="A2" s="2">
        <v>3</v>
      </c>
      <c r="B2" s="2" t="s">
        <v>9</v>
      </c>
      <c r="C2" s="2" t="s">
        <v>10</v>
      </c>
      <c r="D2" s="2" t="s">
        <v>11</v>
      </c>
      <c r="E2" s="2">
        <v>0.28999999999999998</v>
      </c>
      <c r="F2" s="2">
        <v>0.64</v>
      </c>
      <c r="G2" s="2">
        <v>0.05</v>
      </c>
      <c r="H2" s="2">
        <v>1</v>
      </c>
      <c r="I2" s="2">
        <v>19</v>
      </c>
    </row>
    <row r="3" spans="1:9" x14ac:dyDescent="0.25">
      <c r="A3" s="2">
        <v>10</v>
      </c>
      <c r="B3" s="2" t="s">
        <v>9</v>
      </c>
      <c r="C3" s="2" t="s">
        <v>12</v>
      </c>
      <c r="D3" s="2" t="s">
        <v>13</v>
      </c>
      <c r="E3" s="2">
        <v>0.55000000000000004</v>
      </c>
      <c r="F3" s="2">
        <v>1.02</v>
      </c>
      <c r="G3" s="2">
        <v>0.05</v>
      </c>
      <c r="H3" s="2">
        <v>1</v>
      </c>
      <c r="I3" s="2">
        <v>45</v>
      </c>
    </row>
    <row r="4" spans="1:9" x14ac:dyDescent="0.25">
      <c r="A4" s="2">
        <v>44</v>
      </c>
      <c r="B4" s="2" t="s">
        <v>14</v>
      </c>
      <c r="C4" s="2" t="s">
        <v>10</v>
      </c>
      <c r="D4" s="2" t="s">
        <v>15</v>
      </c>
      <c r="E4" s="2">
        <v>0.24</v>
      </c>
      <c r="F4" s="2">
        <v>0.5</v>
      </c>
      <c r="G4" s="2">
        <v>0.05</v>
      </c>
      <c r="H4" s="2">
        <v>1</v>
      </c>
      <c r="I4" s="2">
        <v>36</v>
      </c>
    </row>
    <row r="5" spans="1:9" x14ac:dyDescent="0.25">
      <c r="A5" s="2">
        <v>33</v>
      </c>
      <c r="B5" s="2" t="s">
        <v>16</v>
      </c>
      <c r="C5" s="2" t="s">
        <v>17</v>
      </c>
      <c r="D5" s="2" t="s">
        <v>18</v>
      </c>
      <c r="E5" s="2">
        <v>0.16</v>
      </c>
      <c r="F5" s="2">
        <v>0.26</v>
      </c>
      <c r="G5" s="2">
        <v>0.05</v>
      </c>
      <c r="H5" s="2">
        <v>1</v>
      </c>
      <c r="I5" s="2">
        <v>17</v>
      </c>
    </row>
    <row r="6" spans="1:9" x14ac:dyDescent="0.25">
      <c r="A6" s="2">
        <v>35</v>
      </c>
      <c r="B6" s="2" t="s">
        <v>16</v>
      </c>
      <c r="C6" s="2" t="s">
        <v>10</v>
      </c>
      <c r="D6" s="2" t="s">
        <v>11</v>
      </c>
      <c r="E6" s="2">
        <v>0.47</v>
      </c>
      <c r="F6" s="2">
        <v>1.33</v>
      </c>
      <c r="G6" s="2">
        <v>7.0000000000000007E-2</v>
      </c>
      <c r="H6" s="2">
        <v>1</v>
      </c>
      <c r="I6" s="2">
        <v>22</v>
      </c>
    </row>
    <row r="7" spans="1:9" x14ac:dyDescent="0.25">
      <c r="A7" s="2">
        <v>11</v>
      </c>
      <c r="B7" s="2" t="s">
        <v>9</v>
      </c>
      <c r="C7" s="2" t="s">
        <v>20</v>
      </c>
      <c r="D7" s="2" t="s">
        <v>15</v>
      </c>
      <c r="E7" s="2">
        <v>5.05</v>
      </c>
      <c r="F7" s="2">
        <v>14.23</v>
      </c>
      <c r="G7" s="2">
        <v>0.21</v>
      </c>
      <c r="H7" s="2">
        <v>1</v>
      </c>
      <c r="I7" s="2">
        <v>45</v>
      </c>
    </row>
    <row r="8" spans="1:9" x14ac:dyDescent="0.25">
      <c r="A8" s="2">
        <v>15</v>
      </c>
      <c r="B8" s="2" t="s">
        <v>21</v>
      </c>
      <c r="C8" s="2" t="s">
        <v>17</v>
      </c>
      <c r="D8" s="2" t="s">
        <v>18</v>
      </c>
      <c r="E8" s="2">
        <v>6.41</v>
      </c>
      <c r="F8" s="2">
        <v>16.79</v>
      </c>
      <c r="G8" s="2">
        <v>0.44</v>
      </c>
      <c r="H8" s="2">
        <v>0.99990000000000001</v>
      </c>
      <c r="I8" s="2">
        <v>35</v>
      </c>
    </row>
    <row r="9" spans="1:9" x14ac:dyDescent="0.25">
      <c r="A9" s="2">
        <v>2</v>
      </c>
      <c r="B9" s="2" t="s">
        <v>9</v>
      </c>
      <c r="C9" s="2" t="s">
        <v>10</v>
      </c>
      <c r="D9" s="2" t="s">
        <v>23</v>
      </c>
      <c r="E9" s="2">
        <v>0.15</v>
      </c>
      <c r="F9" s="2">
        <v>0.26</v>
      </c>
      <c r="G9" s="2">
        <v>0.49</v>
      </c>
      <c r="H9" s="2">
        <v>0.99990000000000001</v>
      </c>
      <c r="I9" s="2">
        <v>10</v>
      </c>
    </row>
    <row r="10" spans="1:9" x14ac:dyDescent="0.25">
      <c r="A10" s="2">
        <v>16</v>
      </c>
      <c r="B10" s="2" t="s">
        <v>21</v>
      </c>
      <c r="C10" s="2" t="s">
        <v>24</v>
      </c>
      <c r="D10" s="2" t="s">
        <v>15</v>
      </c>
      <c r="E10" s="2">
        <v>6.03</v>
      </c>
      <c r="F10" s="2">
        <v>13.92</v>
      </c>
      <c r="G10" s="2">
        <v>0.6</v>
      </c>
      <c r="H10" s="2">
        <v>0.99990000000000001</v>
      </c>
      <c r="I10" s="2">
        <v>42</v>
      </c>
    </row>
    <row r="11" spans="1:9" x14ac:dyDescent="0.25">
      <c r="A11" s="2">
        <v>53</v>
      </c>
      <c r="B11" s="2" t="s">
        <v>25</v>
      </c>
      <c r="C11" s="2" t="s">
        <v>12</v>
      </c>
      <c r="D11" s="2" t="s">
        <v>23</v>
      </c>
      <c r="E11" s="2">
        <v>0.87</v>
      </c>
      <c r="F11" s="2">
        <v>1.51</v>
      </c>
      <c r="G11" s="2">
        <v>0.64</v>
      </c>
      <c r="H11" s="2">
        <v>0.99990000000000001</v>
      </c>
      <c r="I11" s="2">
        <v>19</v>
      </c>
    </row>
    <row r="12" spans="1:9" x14ac:dyDescent="0.25">
      <c r="A12" s="2">
        <v>55</v>
      </c>
      <c r="B12" s="2" t="s">
        <v>25</v>
      </c>
      <c r="C12" s="2" t="s">
        <v>20</v>
      </c>
      <c r="D12" s="2" t="s">
        <v>15</v>
      </c>
      <c r="E12" s="2">
        <v>0.97</v>
      </c>
      <c r="F12" s="2">
        <v>1.73</v>
      </c>
      <c r="G12" s="2">
        <v>1.58</v>
      </c>
      <c r="H12" s="2">
        <v>0.99919999999999998</v>
      </c>
      <c r="I12" s="2">
        <v>22</v>
      </c>
    </row>
    <row r="13" spans="1:9" x14ac:dyDescent="0.25">
      <c r="A13" s="2">
        <v>36</v>
      </c>
      <c r="B13" s="2" t="s">
        <v>16</v>
      </c>
      <c r="C13" s="2" t="s">
        <v>27</v>
      </c>
      <c r="D13" s="2" t="s">
        <v>15</v>
      </c>
      <c r="E13" s="2">
        <v>8.11</v>
      </c>
      <c r="F13" s="2">
        <v>15.28</v>
      </c>
      <c r="G13" s="2">
        <v>2.13</v>
      </c>
      <c r="H13" s="2">
        <v>0.99919999999999998</v>
      </c>
      <c r="I13" s="2">
        <v>27</v>
      </c>
    </row>
    <row r="14" spans="1:9" x14ac:dyDescent="0.25">
      <c r="A14" s="2">
        <v>17</v>
      </c>
      <c r="B14" s="2" t="s">
        <v>21</v>
      </c>
      <c r="C14" s="2" t="s">
        <v>10</v>
      </c>
      <c r="D14" s="2" t="s">
        <v>15</v>
      </c>
      <c r="E14" s="2">
        <v>94.52</v>
      </c>
      <c r="F14" s="2">
        <v>174.86</v>
      </c>
      <c r="G14" s="2">
        <v>2.97</v>
      </c>
      <c r="H14" s="2">
        <v>0.99929999999999997</v>
      </c>
      <c r="I14" s="2">
        <v>45</v>
      </c>
    </row>
    <row r="15" spans="1:9" x14ac:dyDescent="0.25">
      <c r="A15" s="2">
        <v>25</v>
      </c>
      <c r="B15" s="2" t="s">
        <v>21</v>
      </c>
      <c r="C15" s="2" t="s">
        <v>27</v>
      </c>
      <c r="D15" s="2" t="s">
        <v>11</v>
      </c>
      <c r="E15" s="2">
        <v>51.39</v>
      </c>
      <c r="F15" s="2">
        <v>94.91</v>
      </c>
      <c r="G15" s="2">
        <v>8.5399999999999991</v>
      </c>
      <c r="H15" s="2">
        <v>0.99070000000000003</v>
      </c>
      <c r="I15" s="2">
        <v>21</v>
      </c>
    </row>
    <row r="16" spans="1:9" x14ac:dyDescent="0.25">
      <c r="A16" s="2">
        <v>9</v>
      </c>
      <c r="B16" s="2" t="s">
        <v>9</v>
      </c>
      <c r="C16" s="2" t="s">
        <v>12</v>
      </c>
      <c r="D16" s="2" t="s">
        <v>23</v>
      </c>
      <c r="E16" s="2">
        <v>152.38</v>
      </c>
      <c r="F16" s="2">
        <v>253.43</v>
      </c>
      <c r="G16" s="2">
        <v>8.68</v>
      </c>
      <c r="H16" s="2">
        <v>0.97860000000000003</v>
      </c>
      <c r="I16" s="2">
        <v>45</v>
      </c>
    </row>
    <row r="17" spans="1:9" x14ac:dyDescent="0.25">
      <c r="A17" s="2">
        <v>13</v>
      </c>
      <c r="B17" s="2" t="s">
        <v>21</v>
      </c>
      <c r="C17" s="2" t="s">
        <v>28</v>
      </c>
      <c r="D17" s="2" t="s">
        <v>29</v>
      </c>
      <c r="E17" s="2">
        <v>62.59</v>
      </c>
      <c r="F17" s="2">
        <v>121.35</v>
      </c>
      <c r="G17" s="2">
        <v>15.86</v>
      </c>
      <c r="H17" s="2">
        <v>0.93910000000000005</v>
      </c>
      <c r="I17" s="2">
        <v>26</v>
      </c>
    </row>
    <row r="18" spans="1:9" x14ac:dyDescent="0.25">
      <c r="A18" s="2">
        <v>51</v>
      </c>
      <c r="B18" s="2" t="s">
        <v>25</v>
      </c>
      <c r="C18" s="2" t="s">
        <v>27</v>
      </c>
      <c r="D18" s="2" t="s">
        <v>15</v>
      </c>
      <c r="E18" s="2">
        <v>53.38</v>
      </c>
      <c r="F18" s="2">
        <v>99.43</v>
      </c>
      <c r="G18" s="2">
        <v>19.010000000000002</v>
      </c>
      <c r="H18" s="2">
        <v>0.96450000000000002</v>
      </c>
      <c r="I18" s="2">
        <v>20</v>
      </c>
    </row>
    <row r="19" spans="1:9" x14ac:dyDescent="0.25">
      <c r="A19" s="2">
        <v>45</v>
      </c>
      <c r="B19" s="2" t="s">
        <v>14</v>
      </c>
      <c r="C19" s="2" t="s">
        <v>27</v>
      </c>
      <c r="D19" s="2" t="s">
        <v>15</v>
      </c>
      <c r="E19" s="2">
        <v>308.52999999999997</v>
      </c>
      <c r="F19" s="2">
        <v>599.25</v>
      </c>
      <c r="G19" s="2">
        <v>24.47</v>
      </c>
      <c r="H19" s="2">
        <v>0.93430000000000002</v>
      </c>
      <c r="I19" s="2">
        <v>35</v>
      </c>
    </row>
    <row r="20" spans="1:9" x14ac:dyDescent="0.25">
      <c r="A20" s="2">
        <v>37</v>
      </c>
      <c r="B20" s="2" t="s">
        <v>16</v>
      </c>
      <c r="C20" s="2" t="s">
        <v>12</v>
      </c>
      <c r="D20" s="2" t="s">
        <v>31</v>
      </c>
      <c r="E20" s="2">
        <v>56.64</v>
      </c>
      <c r="F20" s="2">
        <v>164.52</v>
      </c>
      <c r="G20" s="2">
        <v>24.64</v>
      </c>
      <c r="H20" s="2">
        <v>0.92969999999999997</v>
      </c>
      <c r="I20" s="2">
        <v>34</v>
      </c>
    </row>
    <row r="21" spans="1:9" x14ac:dyDescent="0.25">
      <c r="A21" s="2">
        <v>32</v>
      </c>
      <c r="B21" s="2" t="s">
        <v>21</v>
      </c>
      <c r="C21" s="2" t="s">
        <v>20</v>
      </c>
      <c r="D21" s="2" t="s">
        <v>11</v>
      </c>
      <c r="E21" s="2">
        <v>714.03</v>
      </c>
      <c r="F21" s="2">
        <v>2123.17</v>
      </c>
      <c r="G21" s="4">
        <v>25</v>
      </c>
      <c r="H21" s="4">
        <v>0.85470000000000002</v>
      </c>
      <c r="I21" s="4">
        <v>45</v>
      </c>
    </row>
    <row r="22" spans="1:9" x14ac:dyDescent="0.25">
      <c r="A22" s="2">
        <v>41</v>
      </c>
      <c r="B22" s="2" t="s">
        <v>14</v>
      </c>
      <c r="C22" s="2" t="s">
        <v>17</v>
      </c>
      <c r="D22" s="2" t="s">
        <v>32</v>
      </c>
      <c r="E22" s="2">
        <v>22.81</v>
      </c>
      <c r="F22" s="2">
        <v>38.619999999999997</v>
      </c>
      <c r="G22" s="2">
        <v>30.69</v>
      </c>
      <c r="H22" s="2">
        <v>0.96060000000000001</v>
      </c>
      <c r="I22" s="2">
        <v>17</v>
      </c>
    </row>
    <row r="23" spans="1:9" x14ac:dyDescent="0.25">
      <c r="A23" s="2">
        <v>8</v>
      </c>
      <c r="B23" s="2" t="s">
        <v>9</v>
      </c>
      <c r="C23" s="2" t="s">
        <v>12</v>
      </c>
      <c r="D23" s="2" t="s">
        <v>34</v>
      </c>
      <c r="E23" s="2">
        <v>123.24</v>
      </c>
      <c r="F23" s="2">
        <v>186.58</v>
      </c>
      <c r="G23" s="2">
        <v>31.31</v>
      </c>
      <c r="H23" s="2">
        <v>0.95509999999999995</v>
      </c>
      <c r="I23" s="2">
        <v>41</v>
      </c>
    </row>
    <row r="24" spans="1:9" x14ac:dyDescent="0.25">
      <c r="A24" s="2">
        <v>43</v>
      </c>
      <c r="B24" s="2" t="s">
        <v>14</v>
      </c>
      <c r="C24" s="2" t="s">
        <v>24</v>
      </c>
      <c r="D24" s="2" t="s">
        <v>15</v>
      </c>
      <c r="E24" s="2">
        <v>60.42</v>
      </c>
      <c r="F24" s="2">
        <v>104.77</v>
      </c>
      <c r="G24" s="2">
        <v>31.52</v>
      </c>
      <c r="H24" s="2">
        <v>0.96409999999999996</v>
      </c>
      <c r="I24" s="2">
        <v>34</v>
      </c>
    </row>
    <row r="25" spans="1:9" x14ac:dyDescent="0.25">
      <c r="A25" s="2">
        <v>56</v>
      </c>
      <c r="B25" s="2" t="s">
        <v>35</v>
      </c>
      <c r="C25" s="2" t="s">
        <v>12</v>
      </c>
      <c r="D25" s="2" t="s">
        <v>13</v>
      </c>
      <c r="E25" s="2">
        <v>97.66</v>
      </c>
      <c r="F25" s="2">
        <v>157.72</v>
      </c>
      <c r="G25" s="2">
        <v>34.18</v>
      </c>
      <c r="H25" s="2">
        <v>0.93840000000000001</v>
      </c>
      <c r="I25" s="2">
        <v>41</v>
      </c>
    </row>
    <row r="26" spans="1:9" x14ac:dyDescent="0.25">
      <c r="A26" s="2">
        <v>0</v>
      </c>
      <c r="B26" s="2" t="s">
        <v>9</v>
      </c>
      <c r="C26" s="2" t="s">
        <v>17</v>
      </c>
      <c r="D26" s="2" t="s">
        <v>32</v>
      </c>
      <c r="E26" s="2">
        <v>64.02</v>
      </c>
      <c r="F26" s="2">
        <v>109.4</v>
      </c>
      <c r="G26" s="2">
        <v>38.049999999999997</v>
      </c>
      <c r="H26" s="2">
        <v>0.82099999999999995</v>
      </c>
      <c r="I26" s="2">
        <v>23</v>
      </c>
    </row>
    <row r="27" spans="1:9" x14ac:dyDescent="0.25">
      <c r="A27" s="2">
        <v>22</v>
      </c>
      <c r="B27" s="2" t="s">
        <v>21</v>
      </c>
      <c r="C27" s="2" t="s">
        <v>27</v>
      </c>
      <c r="D27" s="2" t="s">
        <v>15</v>
      </c>
      <c r="E27" s="2">
        <v>2116.13</v>
      </c>
      <c r="F27" s="2">
        <v>7154.35</v>
      </c>
      <c r="G27" s="2">
        <v>39.24</v>
      </c>
      <c r="H27" s="2">
        <v>0.62009999999999998</v>
      </c>
      <c r="I27" s="2">
        <v>43</v>
      </c>
    </row>
    <row r="28" spans="1:9" x14ac:dyDescent="0.25">
      <c r="A28" s="2">
        <v>1</v>
      </c>
      <c r="B28" s="2" t="s">
        <v>9</v>
      </c>
      <c r="C28" s="2" t="s">
        <v>10</v>
      </c>
      <c r="D28" s="2" t="s">
        <v>15</v>
      </c>
      <c r="E28" s="2">
        <v>203.46</v>
      </c>
      <c r="F28" s="2">
        <v>396.25</v>
      </c>
      <c r="G28" s="2">
        <v>42.93</v>
      </c>
      <c r="H28" s="2">
        <v>0.88549999999999995</v>
      </c>
      <c r="I28" s="2">
        <v>43</v>
      </c>
    </row>
    <row r="29" spans="1:9" x14ac:dyDescent="0.25">
      <c r="A29" s="2">
        <v>31</v>
      </c>
      <c r="B29" s="2" t="s">
        <v>21</v>
      </c>
      <c r="C29" s="2" t="s">
        <v>20</v>
      </c>
      <c r="D29" s="2" t="s">
        <v>37</v>
      </c>
      <c r="E29" s="2">
        <v>17.739999999999998</v>
      </c>
      <c r="F29" s="2">
        <v>30.41</v>
      </c>
      <c r="G29" s="2">
        <v>53.44</v>
      </c>
      <c r="H29" s="2">
        <v>0.42899999999999999</v>
      </c>
      <c r="I29" s="2">
        <v>11</v>
      </c>
    </row>
    <row r="30" spans="1:9" x14ac:dyDescent="0.25">
      <c r="A30" s="2">
        <v>50</v>
      </c>
      <c r="B30" s="2" t="s">
        <v>25</v>
      </c>
      <c r="C30" s="2" t="s">
        <v>10</v>
      </c>
      <c r="D30" s="2" t="s">
        <v>15</v>
      </c>
      <c r="E30" s="2">
        <v>141.33000000000001</v>
      </c>
      <c r="F30" s="2">
        <v>303.45</v>
      </c>
      <c r="G30" s="2">
        <v>53.67</v>
      </c>
      <c r="H30" s="2">
        <v>0.74650000000000005</v>
      </c>
      <c r="I30" s="2">
        <v>32</v>
      </c>
    </row>
    <row r="31" spans="1:9" x14ac:dyDescent="0.25">
      <c r="A31" s="2">
        <v>20</v>
      </c>
      <c r="B31" s="2" t="s">
        <v>21</v>
      </c>
      <c r="C31" s="2" t="s">
        <v>39</v>
      </c>
      <c r="D31" s="2" t="s">
        <v>15</v>
      </c>
      <c r="E31" s="2">
        <v>17.04</v>
      </c>
      <c r="F31" s="2">
        <v>22.46</v>
      </c>
      <c r="G31" s="2">
        <v>54.76</v>
      </c>
      <c r="H31" s="2">
        <v>0.7016</v>
      </c>
      <c r="I31" s="2">
        <v>18</v>
      </c>
    </row>
    <row r="32" spans="1:9" x14ac:dyDescent="0.25">
      <c r="A32" s="2">
        <v>4</v>
      </c>
      <c r="B32" s="2" t="s">
        <v>9</v>
      </c>
      <c r="C32" s="2" t="s">
        <v>27</v>
      </c>
      <c r="D32" s="2" t="s">
        <v>15</v>
      </c>
      <c r="E32" s="2">
        <v>329.31</v>
      </c>
      <c r="F32" s="2">
        <v>574.44000000000005</v>
      </c>
      <c r="G32" s="2">
        <v>58.51</v>
      </c>
      <c r="H32" s="2">
        <v>0.84550000000000003</v>
      </c>
      <c r="I32" s="2">
        <v>37</v>
      </c>
    </row>
    <row r="33" spans="1:9" x14ac:dyDescent="0.25">
      <c r="A33" s="2">
        <v>29</v>
      </c>
      <c r="B33" s="2" t="s">
        <v>21</v>
      </c>
      <c r="C33" s="2" t="s">
        <v>12</v>
      </c>
      <c r="D33" s="2" t="s">
        <v>13</v>
      </c>
      <c r="E33" s="2">
        <v>855.39</v>
      </c>
      <c r="F33" s="2">
        <v>1455.13</v>
      </c>
      <c r="G33" s="2">
        <v>59.83</v>
      </c>
      <c r="H33" s="2">
        <v>0.75070000000000003</v>
      </c>
      <c r="I33" s="2">
        <v>45</v>
      </c>
    </row>
    <row r="34" spans="1:9" x14ac:dyDescent="0.25">
      <c r="A34" s="2">
        <v>24</v>
      </c>
      <c r="B34" s="2" t="s">
        <v>21</v>
      </c>
      <c r="C34" s="2" t="s">
        <v>27</v>
      </c>
      <c r="D34" s="2" t="s">
        <v>40</v>
      </c>
      <c r="E34" s="2">
        <v>232.31</v>
      </c>
      <c r="F34" s="2">
        <v>390.76</v>
      </c>
      <c r="G34" s="2">
        <v>70.319999999999993</v>
      </c>
      <c r="H34" s="2">
        <v>0.82250000000000001</v>
      </c>
      <c r="I34" s="2">
        <v>33</v>
      </c>
    </row>
    <row r="35" spans="1:9" x14ac:dyDescent="0.25">
      <c r="A35" s="2">
        <v>5</v>
      </c>
      <c r="B35" s="2" t="s">
        <v>9</v>
      </c>
      <c r="C35" s="2" t="s">
        <v>27</v>
      </c>
      <c r="D35" s="2" t="s">
        <v>23</v>
      </c>
      <c r="E35" s="2">
        <v>50.86</v>
      </c>
      <c r="F35" s="2">
        <v>76.099999999999994</v>
      </c>
      <c r="G35" s="4">
        <v>75</v>
      </c>
      <c r="H35" s="4">
        <v>0.64959999999999996</v>
      </c>
      <c r="I35" s="4">
        <v>28</v>
      </c>
    </row>
    <row r="36" spans="1:9" x14ac:dyDescent="0.25">
      <c r="A36" s="2">
        <v>19</v>
      </c>
      <c r="B36" s="2" t="s">
        <v>21</v>
      </c>
      <c r="C36" s="2" t="s">
        <v>41</v>
      </c>
      <c r="D36" s="2" t="s">
        <v>42</v>
      </c>
      <c r="E36" s="2">
        <v>42.61</v>
      </c>
      <c r="F36" s="2">
        <v>73.78</v>
      </c>
      <c r="G36" s="2">
        <v>75.83</v>
      </c>
      <c r="H36" s="2">
        <v>0.48930000000000001</v>
      </c>
      <c r="I36" s="2">
        <v>16</v>
      </c>
    </row>
    <row r="37" spans="1:9" x14ac:dyDescent="0.25">
      <c r="A37" s="2">
        <v>23</v>
      </c>
      <c r="B37" s="2" t="s">
        <v>21</v>
      </c>
      <c r="C37" s="2" t="s">
        <v>27</v>
      </c>
      <c r="D37" s="2" t="s">
        <v>31</v>
      </c>
      <c r="E37" s="2">
        <v>39.76</v>
      </c>
      <c r="F37" s="2">
        <v>55.93</v>
      </c>
      <c r="G37" s="2">
        <v>78.819999999999993</v>
      </c>
      <c r="H37" s="2">
        <v>0.64129999999999998</v>
      </c>
      <c r="I37" s="2">
        <v>17</v>
      </c>
    </row>
    <row r="38" spans="1:9" x14ac:dyDescent="0.25">
      <c r="A38" s="2">
        <v>21</v>
      </c>
      <c r="B38" s="2" t="s">
        <v>21</v>
      </c>
      <c r="C38" s="2" t="s">
        <v>39</v>
      </c>
      <c r="D38" s="2" t="s">
        <v>31</v>
      </c>
      <c r="E38" s="2">
        <v>163.19999999999999</v>
      </c>
      <c r="F38" s="2">
        <v>450.33</v>
      </c>
      <c r="G38" s="2">
        <v>80.19</v>
      </c>
      <c r="H38" s="2">
        <v>0.3453</v>
      </c>
      <c r="I38" s="2">
        <v>29</v>
      </c>
    </row>
    <row r="39" spans="1:9" x14ac:dyDescent="0.25">
      <c r="A39" s="2">
        <v>28</v>
      </c>
      <c r="B39" s="2" t="s">
        <v>21</v>
      </c>
      <c r="C39" s="2" t="s">
        <v>12</v>
      </c>
      <c r="D39" s="2" t="s">
        <v>44</v>
      </c>
      <c r="E39" s="2">
        <v>41.93</v>
      </c>
      <c r="F39" s="2">
        <v>52.69</v>
      </c>
      <c r="G39" s="2">
        <v>83.79</v>
      </c>
      <c r="H39" s="2">
        <v>0.54800000000000004</v>
      </c>
      <c r="I39" s="2">
        <v>13</v>
      </c>
    </row>
    <row r="40" spans="1:9" x14ac:dyDescent="0.25">
      <c r="A40" s="2">
        <v>26</v>
      </c>
      <c r="B40" s="2" t="s">
        <v>21</v>
      </c>
      <c r="C40" s="2" t="s">
        <v>12</v>
      </c>
      <c r="D40" s="2" t="s">
        <v>31</v>
      </c>
      <c r="E40" s="2">
        <v>1059.05</v>
      </c>
      <c r="F40" s="2">
        <v>2081.11</v>
      </c>
      <c r="G40" s="2">
        <v>86.68</v>
      </c>
      <c r="H40" s="2">
        <v>0.66349999999999998</v>
      </c>
      <c r="I40" s="2">
        <v>45</v>
      </c>
    </row>
    <row r="41" spans="1:9" x14ac:dyDescent="0.25">
      <c r="A41" s="2">
        <v>30</v>
      </c>
      <c r="B41" s="2" t="s">
        <v>21</v>
      </c>
      <c r="C41" s="2" t="s">
        <v>20</v>
      </c>
      <c r="D41" s="2" t="s">
        <v>15</v>
      </c>
      <c r="E41" s="2">
        <v>1367.03</v>
      </c>
      <c r="F41" s="2">
        <v>1828.54</v>
      </c>
      <c r="G41" s="2">
        <v>86.88</v>
      </c>
      <c r="H41" s="2">
        <v>0.4995</v>
      </c>
      <c r="I41" s="2">
        <v>45</v>
      </c>
    </row>
    <row r="42" spans="1:9" x14ac:dyDescent="0.25">
      <c r="A42" s="2">
        <v>6</v>
      </c>
      <c r="B42" s="2" t="s">
        <v>9</v>
      </c>
      <c r="C42" s="2" t="s">
        <v>27</v>
      </c>
      <c r="D42" s="2" t="s">
        <v>40</v>
      </c>
      <c r="E42" s="2">
        <v>257.12</v>
      </c>
      <c r="F42" s="2">
        <v>540.01</v>
      </c>
      <c r="G42" s="2">
        <v>92.15</v>
      </c>
      <c r="H42" s="2">
        <v>0.75160000000000005</v>
      </c>
      <c r="I42" s="2">
        <v>39</v>
      </c>
    </row>
    <row r="43" spans="1:9" x14ac:dyDescent="0.25">
      <c r="A43" s="2">
        <v>47</v>
      </c>
      <c r="B43" s="2" t="s">
        <v>14</v>
      </c>
      <c r="C43" s="2" t="s">
        <v>12</v>
      </c>
      <c r="D43" s="2" t="s">
        <v>13</v>
      </c>
      <c r="E43" s="2">
        <v>127.07</v>
      </c>
      <c r="F43" s="2">
        <v>192.1</v>
      </c>
      <c r="G43" s="2">
        <v>97.35</v>
      </c>
      <c r="H43" s="2">
        <v>0.49049999999999999</v>
      </c>
      <c r="I43" s="2">
        <v>36</v>
      </c>
    </row>
    <row r="44" spans="1:9" x14ac:dyDescent="0.25">
      <c r="A44" s="2">
        <v>42</v>
      </c>
      <c r="B44" s="2" t="s">
        <v>14</v>
      </c>
      <c r="C44" s="2" t="s">
        <v>17</v>
      </c>
      <c r="D44" s="2" t="s">
        <v>18</v>
      </c>
      <c r="E44" s="2">
        <v>238.15</v>
      </c>
      <c r="F44" s="2">
        <v>591.42999999999995</v>
      </c>
      <c r="G44" s="2">
        <v>108.34</v>
      </c>
      <c r="H44" s="2">
        <v>0.34889999999999999</v>
      </c>
      <c r="I44" s="2">
        <v>24</v>
      </c>
    </row>
    <row r="45" spans="1:9" x14ac:dyDescent="0.25">
      <c r="A45" s="2">
        <v>14</v>
      </c>
      <c r="B45" s="2" t="s">
        <v>21</v>
      </c>
      <c r="C45" s="2" t="s">
        <v>17</v>
      </c>
      <c r="D45" s="2" t="s">
        <v>32</v>
      </c>
      <c r="E45" s="2">
        <v>272.41000000000003</v>
      </c>
      <c r="F45" s="2">
        <v>669.3</v>
      </c>
      <c r="G45" s="2">
        <v>112.54</v>
      </c>
      <c r="H45" s="2">
        <v>0.52149999999999996</v>
      </c>
      <c r="I45" s="2">
        <v>33</v>
      </c>
    </row>
    <row r="46" spans="1:9" x14ac:dyDescent="0.25">
      <c r="A46" s="2">
        <v>38</v>
      </c>
      <c r="B46" s="2" t="s">
        <v>16</v>
      </c>
      <c r="C46" s="2" t="s">
        <v>12</v>
      </c>
      <c r="D46" s="2" t="s">
        <v>23</v>
      </c>
      <c r="E46" s="2">
        <v>167.44</v>
      </c>
      <c r="F46" s="2">
        <v>363.18</v>
      </c>
      <c r="G46" s="2">
        <v>116.63</v>
      </c>
      <c r="H46" s="2">
        <v>0.29559999999999997</v>
      </c>
      <c r="I46" s="2">
        <v>30</v>
      </c>
    </row>
    <row r="47" spans="1:9" x14ac:dyDescent="0.25">
      <c r="A47" s="2">
        <v>12</v>
      </c>
      <c r="B47" s="2" t="s">
        <v>9</v>
      </c>
      <c r="C47" s="2" t="s">
        <v>20</v>
      </c>
      <c r="D47" s="2" t="s">
        <v>11</v>
      </c>
      <c r="E47" s="2">
        <v>292.91000000000003</v>
      </c>
      <c r="F47" s="2">
        <v>467.55</v>
      </c>
      <c r="G47" s="2">
        <v>121.45</v>
      </c>
      <c r="H47" s="2">
        <v>0.55730000000000002</v>
      </c>
      <c r="I47" s="2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E533C-659E-45AF-81E1-7EF76ECA4A46}">
  <dimension ref="A1:K58"/>
  <sheetViews>
    <sheetView workbookViewId="0">
      <selection activeCell="F7" sqref="F7"/>
    </sheetView>
  </sheetViews>
  <sheetFormatPr baseColWidth="10" defaultRowHeight="15" x14ac:dyDescent="0.25"/>
  <cols>
    <col min="1" max="1" width="3" bestFit="1" customWidth="1"/>
    <col min="2" max="2" width="7.28515625" bestFit="1" customWidth="1"/>
    <col min="3" max="3" width="9.42578125" bestFit="1" customWidth="1"/>
    <col min="4" max="4" width="12.7109375" bestFit="1" customWidth="1"/>
    <col min="5" max="5" width="16.42578125" bestFit="1" customWidth="1"/>
    <col min="6" max="6" width="7.5703125" bestFit="1" customWidth="1"/>
    <col min="7" max="7" width="8.5703125" bestFit="1" customWidth="1"/>
    <col min="8" max="8" width="8.28515625" bestFit="1" customWidth="1"/>
    <col min="9" max="9" width="7.7109375" bestFit="1" customWidth="1"/>
    <col min="10" max="10" width="16.140625" bestFit="1" customWidth="1"/>
    <col min="11" max="11" width="12.85546875" bestFit="1" customWidth="1"/>
  </cols>
  <sheetData>
    <row r="1" spans="1:11" x14ac:dyDescent="0.25">
      <c r="A1" s="2"/>
      <c r="B1" s="2" t="s">
        <v>0</v>
      </c>
      <c r="C1" s="2" t="s">
        <v>1</v>
      </c>
      <c r="D1" s="2" t="s">
        <v>2</v>
      </c>
      <c r="E1" s="2"/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25">
      <c r="A2" s="2">
        <v>31</v>
      </c>
      <c r="B2" s="2" t="s">
        <v>21</v>
      </c>
      <c r="C2" s="2" t="s">
        <v>20</v>
      </c>
      <c r="D2" s="2" t="s">
        <v>37</v>
      </c>
      <c r="E2" s="2" t="str">
        <f>B2&amp;C2&amp;D2</f>
        <v>MUJEZATOFIES</v>
      </c>
      <c r="F2" s="2" t="s">
        <v>168</v>
      </c>
      <c r="G2" s="2" t="s">
        <v>169</v>
      </c>
      <c r="H2" s="2">
        <v>0.57999999999999996</v>
      </c>
      <c r="I2" s="29">
        <v>1</v>
      </c>
      <c r="J2" s="2">
        <v>11</v>
      </c>
      <c r="K2" s="2" t="s">
        <v>22</v>
      </c>
    </row>
    <row r="3" spans="1:11" x14ac:dyDescent="0.25">
      <c r="A3" s="2">
        <v>51</v>
      </c>
      <c r="B3" s="2" t="s">
        <v>25</v>
      </c>
      <c r="C3" s="2" t="s">
        <v>27</v>
      </c>
      <c r="D3" s="2" t="s">
        <v>15</v>
      </c>
      <c r="E3" s="2" t="str">
        <f t="shared" ref="E3:E58" si="0">B3&amp;C3&amp;D3</f>
        <v>NIÑUSANDCASU</v>
      </c>
      <c r="F3" s="2" t="s">
        <v>170</v>
      </c>
      <c r="G3" s="2" t="s">
        <v>171</v>
      </c>
      <c r="H3" s="2">
        <v>1.1299999999999999</v>
      </c>
      <c r="I3" s="29">
        <v>1</v>
      </c>
      <c r="J3" s="2">
        <v>20</v>
      </c>
      <c r="K3" s="2" t="s">
        <v>22</v>
      </c>
    </row>
    <row r="4" spans="1:11" x14ac:dyDescent="0.25">
      <c r="A4" s="2">
        <v>56</v>
      </c>
      <c r="B4" s="2" t="s">
        <v>35</v>
      </c>
      <c r="C4" s="2" t="s">
        <v>12</v>
      </c>
      <c r="D4" s="2" t="s">
        <v>13</v>
      </c>
      <c r="E4" s="2" t="str">
        <f t="shared" si="0"/>
        <v>UNIXZAPAURBA</v>
      </c>
      <c r="F4" s="2" t="s">
        <v>173</v>
      </c>
      <c r="G4" s="2" t="s">
        <v>174</v>
      </c>
      <c r="H4" s="2">
        <v>21.97</v>
      </c>
      <c r="I4" s="2">
        <v>0.49990000000000001</v>
      </c>
      <c r="J4" s="2">
        <v>41</v>
      </c>
      <c r="K4" s="2" t="s">
        <v>30</v>
      </c>
    </row>
    <row r="5" spans="1:11" x14ac:dyDescent="0.25">
      <c r="A5" s="2">
        <v>11</v>
      </c>
      <c r="B5" s="2" t="s">
        <v>9</v>
      </c>
      <c r="C5" s="2" t="s">
        <v>20</v>
      </c>
      <c r="D5" s="2" t="s">
        <v>15</v>
      </c>
      <c r="E5" s="2" t="str">
        <f t="shared" si="0"/>
        <v>HOMBZATOCASU</v>
      </c>
      <c r="F5" s="2" t="s">
        <v>175</v>
      </c>
      <c r="G5" s="2" t="s">
        <v>176</v>
      </c>
      <c r="H5" s="2">
        <v>57.09</v>
      </c>
      <c r="I5" s="2">
        <v>0.55320000000000003</v>
      </c>
      <c r="J5" s="2">
        <v>45</v>
      </c>
      <c r="K5" s="2" t="s">
        <v>177</v>
      </c>
    </row>
    <row r="6" spans="1:11" x14ac:dyDescent="0.25">
      <c r="A6" s="2">
        <v>9</v>
      </c>
      <c r="B6" s="2" t="s">
        <v>9</v>
      </c>
      <c r="C6" s="2" t="s">
        <v>12</v>
      </c>
      <c r="D6" s="2" t="s">
        <v>23</v>
      </c>
      <c r="E6" s="2" t="str">
        <f t="shared" si="0"/>
        <v>HOMBZAPAOUTD</v>
      </c>
      <c r="F6" s="2" t="s">
        <v>178</v>
      </c>
      <c r="G6" s="2" t="s">
        <v>179</v>
      </c>
      <c r="H6" s="2">
        <v>57.61</v>
      </c>
      <c r="I6" s="2">
        <v>0.59819999999999995</v>
      </c>
      <c r="J6" s="2">
        <v>45</v>
      </c>
      <c r="K6" s="2" t="s">
        <v>180</v>
      </c>
    </row>
    <row r="7" spans="1:11" x14ac:dyDescent="0.25">
      <c r="A7" s="2">
        <v>45</v>
      </c>
      <c r="B7" s="2" t="s">
        <v>14</v>
      </c>
      <c r="C7" s="2" t="s">
        <v>27</v>
      </c>
      <c r="D7" s="2" t="s">
        <v>15</v>
      </c>
      <c r="E7" s="2" t="str">
        <f t="shared" si="0"/>
        <v>NIÑMSANDCASU</v>
      </c>
      <c r="F7" s="2" t="s">
        <v>181</v>
      </c>
      <c r="G7" s="2" t="s">
        <v>182</v>
      </c>
      <c r="H7" s="2">
        <v>58.22</v>
      </c>
      <c r="I7" s="2">
        <v>0.43</v>
      </c>
      <c r="J7" s="2">
        <v>35</v>
      </c>
      <c r="K7" s="2" t="s">
        <v>183</v>
      </c>
    </row>
    <row r="8" spans="1:11" x14ac:dyDescent="0.25">
      <c r="A8" s="2">
        <v>44</v>
      </c>
      <c r="B8" s="2" t="s">
        <v>14</v>
      </c>
      <c r="C8" s="2" t="s">
        <v>10</v>
      </c>
      <c r="D8" s="2" t="s">
        <v>15</v>
      </c>
      <c r="E8" s="2" t="str">
        <f t="shared" si="0"/>
        <v>NIÑMBOTICASU</v>
      </c>
      <c r="F8" s="2" t="s">
        <v>184</v>
      </c>
      <c r="G8" s="2" t="s">
        <v>185</v>
      </c>
      <c r="H8" s="2">
        <v>58.68</v>
      </c>
      <c r="I8" s="2">
        <v>0.62929999999999997</v>
      </c>
      <c r="J8" s="2">
        <v>36</v>
      </c>
      <c r="K8" s="2" t="s">
        <v>186</v>
      </c>
    </row>
    <row r="9" spans="1:11" x14ac:dyDescent="0.25">
      <c r="A9" s="2">
        <v>53</v>
      </c>
      <c r="B9" s="2" t="s">
        <v>25</v>
      </c>
      <c r="C9" s="2" t="s">
        <v>12</v>
      </c>
      <c r="D9" s="2" t="s">
        <v>23</v>
      </c>
      <c r="E9" s="2" t="str">
        <f t="shared" si="0"/>
        <v>NIÑUZAPAOUTD</v>
      </c>
      <c r="F9" s="2" t="s">
        <v>187</v>
      </c>
      <c r="G9" s="2" t="s">
        <v>188</v>
      </c>
      <c r="H9" s="2">
        <v>67.849999999999994</v>
      </c>
      <c r="I9" s="2">
        <v>0.49859999999999999</v>
      </c>
      <c r="J9" s="2">
        <v>19</v>
      </c>
      <c r="K9" s="2" t="s">
        <v>189</v>
      </c>
    </row>
    <row r="10" spans="1:11" x14ac:dyDescent="0.25">
      <c r="A10" s="2">
        <v>28</v>
      </c>
      <c r="B10" s="2" t="s">
        <v>21</v>
      </c>
      <c r="C10" s="2" t="s">
        <v>12</v>
      </c>
      <c r="D10" s="2" t="s">
        <v>44</v>
      </c>
      <c r="E10" s="2" t="str">
        <f t="shared" si="0"/>
        <v>MUJEZAPASERV</v>
      </c>
      <c r="F10" s="2" t="s">
        <v>190</v>
      </c>
      <c r="G10" s="2" t="s">
        <v>191</v>
      </c>
      <c r="H10" s="2">
        <v>72.75</v>
      </c>
      <c r="I10" s="2">
        <v>0.67230000000000001</v>
      </c>
      <c r="J10" s="2">
        <v>13</v>
      </c>
      <c r="K10" s="2" t="s">
        <v>192</v>
      </c>
    </row>
    <row r="11" spans="1:11" x14ac:dyDescent="0.25">
      <c r="A11" s="2">
        <v>20</v>
      </c>
      <c r="B11" s="2" t="s">
        <v>21</v>
      </c>
      <c r="C11" s="2" t="s">
        <v>39</v>
      </c>
      <c r="D11" s="2" t="s">
        <v>15</v>
      </c>
      <c r="E11" s="2" t="str">
        <f t="shared" si="0"/>
        <v>MUJEPUNTCASU</v>
      </c>
      <c r="F11" s="2" t="s">
        <v>193</v>
      </c>
      <c r="G11" s="2" t="s">
        <v>194</v>
      </c>
      <c r="H11" s="2">
        <v>75.25</v>
      </c>
      <c r="I11" s="2">
        <v>0.16800000000000001</v>
      </c>
      <c r="J11" s="2">
        <v>18</v>
      </c>
      <c r="K11" s="2" t="s">
        <v>195</v>
      </c>
    </row>
    <row r="12" spans="1:11" x14ac:dyDescent="0.25">
      <c r="A12" s="2">
        <v>19</v>
      </c>
      <c r="B12" s="2" t="s">
        <v>21</v>
      </c>
      <c r="C12" s="2" t="s">
        <v>41</v>
      </c>
      <c r="D12" s="2" t="s">
        <v>42</v>
      </c>
      <c r="E12" s="2" t="str">
        <f t="shared" si="0"/>
        <v>MUJEEVAPANT</v>
      </c>
      <c r="F12" s="2" t="s">
        <v>196</v>
      </c>
      <c r="G12" s="2" t="s">
        <v>197</v>
      </c>
      <c r="H12" s="2">
        <v>77</v>
      </c>
      <c r="I12" s="2">
        <v>0.45889999999999997</v>
      </c>
      <c r="J12" s="2">
        <v>16</v>
      </c>
      <c r="K12" s="2" t="s">
        <v>198</v>
      </c>
    </row>
    <row r="13" spans="1:11" x14ac:dyDescent="0.25">
      <c r="A13" s="2">
        <v>0</v>
      </c>
      <c r="B13" s="2" t="s">
        <v>9</v>
      </c>
      <c r="C13" s="2" t="s">
        <v>17</v>
      </c>
      <c r="D13" s="2" t="s">
        <v>32</v>
      </c>
      <c r="E13" s="2" t="str">
        <f t="shared" si="0"/>
        <v>HOMBBOAGBASI</v>
      </c>
      <c r="F13" s="2" t="s">
        <v>199</v>
      </c>
      <c r="G13" s="2" t="s">
        <v>200</v>
      </c>
      <c r="H13" s="2">
        <v>82.93</v>
      </c>
      <c r="I13" s="2">
        <v>0.52</v>
      </c>
      <c r="J13" s="2">
        <v>23</v>
      </c>
      <c r="K13" s="2" t="s">
        <v>201</v>
      </c>
    </row>
    <row r="14" spans="1:11" x14ac:dyDescent="0.25">
      <c r="A14" s="2">
        <v>30</v>
      </c>
      <c r="B14" s="2" t="s">
        <v>21</v>
      </c>
      <c r="C14" s="2" t="s">
        <v>20</v>
      </c>
      <c r="D14" s="2" t="s">
        <v>15</v>
      </c>
      <c r="E14" s="2" t="str">
        <f t="shared" si="0"/>
        <v>MUJEZATOCASU</v>
      </c>
      <c r="F14" s="2" t="s">
        <v>202</v>
      </c>
      <c r="G14" s="2" t="s">
        <v>203</v>
      </c>
      <c r="H14" s="2">
        <v>83.58</v>
      </c>
      <c r="I14" s="2">
        <v>0.47660000000000002</v>
      </c>
      <c r="J14" s="2">
        <v>45</v>
      </c>
      <c r="K14" s="2" t="s">
        <v>204</v>
      </c>
    </row>
    <row r="15" spans="1:11" x14ac:dyDescent="0.25">
      <c r="A15" s="2">
        <v>43</v>
      </c>
      <c r="B15" s="2" t="s">
        <v>14</v>
      </c>
      <c r="C15" s="2" t="s">
        <v>24</v>
      </c>
      <c r="D15" s="2" t="s">
        <v>15</v>
      </c>
      <c r="E15" s="2" t="str">
        <f t="shared" si="0"/>
        <v>NIÑMBOTACASU</v>
      </c>
      <c r="F15" s="2" t="s">
        <v>205</v>
      </c>
      <c r="G15" s="2" t="s">
        <v>206</v>
      </c>
      <c r="H15" s="2">
        <v>85.17</v>
      </c>
      <c r="I15" s="2">
        <v>-2.69E-2</v>
      </c>
      <c r="J15" s="2">
        <v>34</v>
      </c>
      <c r="K15" s="2" t="s">
        <v>207</v>
      </c>
    </row>
    <row r="16" spans="1:11" x14ac:dyDescent="0.25">
      <c r="A16" s="2">
        <v>4</v>
      </c>
      <c r="B16" s="2" t="s">
        <v>9</v>
      </c>
      <c r="C16" s="2" t="s">
        <v>27</v>
      </c>
      <c r="D16" s="2" t="s">
        <v>15</v>
      </c>
      <c r="E16" s="2" t="str">
        <f t="shared" si="0"/>
        <v>HOMBSANDCASU</v>
      </c>
      <c r="F16" s="2" t="s">
        <v>208</v>
      </c>
      <c r="G16" s="2" t="s">
        <v>209</v>
      </c>
      <c r="H16" s="2">
        <v>86.43</v>
      </c>
      <c r="I16" s="2">
        <v>0.54849999999999999</v>
      </c>
      <c r="J16" s="2">
        <v>37</v>
      </c>
      <c r="K16" s="2" t="s">
        <v>210</v>
      </c>
    </row>
    <row r="17" spans="1:11" x14ac:dyDescent="0.25">
      <c r="A17" s="2">
        <v>13</v>
      </c>
      <c r="B17" s="2" t="s">
        <v>21</v>
      </c>
      <c r="C17" s="2" t="s">
        <v>28</v>
      </c>
      <c r="D17" s="2" t="s">
        <v>29</v>
      </c>
      <c r="E17" s="2" t="str">
        <f t="shared" si="0"/>
        <v>MUJEAQUANA</v>
      </c>
      <c r="F17" s="2" t="s">
        <v>211</v>
      </c>
      <c r="G17" s="2" t="s">
        <v>212</v>
      </c>
      <c r="H17" s="2">
        <v>89.7</v>
      </c>
      <c r="I17" s="2">
        <v>0.3422</v>
      </c>
      <c r="J17" s="2">
        <v>26</v>
      </c>
      <c r="K17" s="2" t="s">
        <v>213</v>
      </c>
    </row>
    <row r="18" spans="1:11" x14ac:dyDescent="0.25">
      <c r="A18" s="2">
        <v>36</v>
      </c>
      <c r="B18" s="2" t="s">
        <v>16</v>
      </c>
      <c r="C18" s="2" t="s">
        <v>27</v>
      </c>
      <c r="D18" s="2" t="s">
        <v>15</v>
      </c>
      <c r="E18" s="2" t="str">
        <f t="shared" si="0"/>
        <v>NIÑHSANDCASU</v>
      </c>
      <c r="F18" s="2" t="s">
        <v>214</v>
      </c>
      <c r="G18" s="2" t="s">
        <v>215</v>
      </c>
      <c r="H18" s="2">
        <v>91.02</v>
      </c>
      <c r="I18" s="2">
        <v>0.78649999999999998</v>
      </c>
      <c r="J18" s="2">
        <v>27</v>
      </c>
      <c r="K18" s="2" t="s">
        <v>38</v>
      </c>
    </row>
    <row r="19" spans="1:11" x14ac:dyDescent="0.25">
      <c r="A19" s="2">
        <v>2</v>
      </c>
      <c r="B19" s="2" t="s">
        <v>9</v>
      </c>
      <c r="C19" s="2" t="s">
        <v>10</v>
      </c>
      <c r="D19" s="2" t="s">
        <v>23</v>
      </c>
      <c r="E19" s="2" t="str">
        <f t="shared" si="0"/>
        <v>HOMBBOTIOUTD</v>
      </c>
      <c r="F19" s="2" t="s">
        <v>216</v>
      </c>
      <c r="G19" s="2" t="s">
        <v>217</v>
      </c>
      <c r="H19" s="2">
        <v>98.07</v>
      </c>
      <c r="I19" s="2">
        <v>0.15479999999999999</v>
      </c>
      <c r="J19" s="2">
        <v>10</v>
      </c>
      <c r="K19" s="2" t="s">
        <v>19</v>
      </c>
    </row>
    <row r="20" spans="1:11" x14ac:dyDescent="0.25">
      <c r="A20" s="2">
        <v>23</v>
      </c>
      <c r="B20" s="2" t="s">
        <v>21</v>
      </c>
      <c r="C20" s="2" t="s">
        <v>27</v>
      </c>
      <c r="D20" s="2" t="s">
        <v>31</v>
      </c>
      <c r="E20" s="2" t="str">
        <f t="shared" si="0"/>
        <v>MUJESANDDEPO</v>
      </c>
      <c r="F20" s="2" t="s">
        <v>218</v>
      </c>
      <c r="G20" s="2" t="s">
        <v>219</v>
      </c>
      <c r="H20" s="2">
        <v>99.11</v>
      </c>
      <c r="I20" s="2">
        <v>0.49399999999999999</v>
      </c>
      <c r="J20" s="2">
        <v>17</v>
      </c>
      <c r="K20" s="2" t="s">
        <v>48</v>
      </c>
    </row>
    <row r="21" spans="1:11" x14ac:dyDescent="0.25">
      <c r="A21" s="2">
        <v>29</v>
      </c>
      <c r="B21" s="2" t="s">
        <v>21</v>
      </c>
      <c r="C21" s="2" t="s">
        <v>12</v>
      </c>
      <c r="D21" s="2" t="s">
        <v>13</v>
      </c>
      <c r="E21" s="2" t="str">
        <f t="shared" si="0"/>
        <v>MUJEZAPAURBA</v>
      </c>
      <c r="F21" s="2" t="s">
        <v>220</v>
      </c>
      <c r="G21" s="2" t="s">
        <v>221</v>
      </c>
      <c r="H21" s="2">
        <v>102.27</v>
      </c>
      <c r="I21" s="2">
        <v>0.39360000000000001</v>
      </c>
      <c r="J21" s="2">
        <v>45</v>
      </c>
      <c r="K21" s="2" t="s">
        <v>45</v>
      </c>
    </row>
    <row r="22" spans="1:11" x14ac:dyDescent="0.25">
      <c r="A22" s="2">
        <v>3</v>
      </c>
      <c r="B22" s="2" t="s">
        <v>9</v>
      </c>
      <c r="C22" s="2" t="s">
        <v>10</v>
      </c>
      <c r="D22" s="2" t="s">
        <v>11</v>
      </c>
      <c r="E22" s="2" t="str">
        <f t="shared" si="0"/>
        <v>HOMBBOTIVEST</v>
      </c>
      <c r="F22" s="2" t="s">
        <v>222</v>
      </c>
      <c r="G22" s="2" t="s">
        <v>223</v>
      </c>
      <c r="H22" s="2">
        <v>103.71</v>
      </c>
      <c r="I22" s="2">
        <v>-0.17100000000000001</v>
      </c>
      <c r="J22" s="2">
        <v>19</v>
      </c>
      <c r="K22" s="2" t="s">
        <v>50</v>
      </c>
    </row>
    <row r="23" spans="1:11" x14ac:dyDescent="0.25">
      <c r="A23" s="2">
        <v>15</v>
      </c>
      <c r="B23" s="2" t="s">
        <v>21</v>
      </c>
      <c r="C23" s="2" t="s">
        <v>17</v>
      </c>
      <c r="D23" s="2" t="s">
        <v>18</v>
      </c>
      <c r="E23" s="2" t="str">
        <f t="shared" si="0"/>
        <v>MUJEBOAGDISE</v>
      </c>
      <c r="F23" s="2" t="s">
        <v>224</v>
      </c>
      <c r="G23" s="2" t="s">
        <v>225</v>
      </c>
      <c r="H23" s="2">
        <v>107.06</v>
      </c>
      <c r="I23" s="2">
        <v>0.40029999999999999</v>
      </c>
      <c r="J23" s="2">
        <v>35</v>
      </c>
      <c r="K23" s="2" t="s">
        <v>226</v>
      </c>
    </row>
    <row r="24" spans="1:11" x14ac:dyDescent="0.25">
      <c r="A24" s="2">
        <v>38</v>
      </c>
      <c r="B24" s="2" t="s">
        <v>16</v>
      </c>
      <c r="C24" s="2" t="s">
        <v>12</v>
      </c>
      <c r="D24" s="2" t="s">
        <v>23</v>
      </c>
      <c r="E24" s="2" t="str">
        <f t="shared" si="0"/>
        <v>NIÑHZAPAOUTD</v>
      </c>
      <c r="F24" s="2" t="s">
        <v>227</v>
      </c>
      <c r="G24" s="2" t="s">
        <v>228</v>
      </c>
      <c r="H24" s="2">
        <v>109.88</v>
      </c>
      <c r="I24" s="2">
        <v>-2.2499999999999999E-2</v>
      </c>
      <c r="J24" s="2">
        <v>30</v>
      </c>
      <c r="K24" s="2" t="s">
        <v>229</v>
      </c>
    </row>
    <row r="25" spans="1:11" x14ac:dyDescent="0.25">
      <c r="A25" s="2">
        <v>16</v>
      </c>
      <c r="B25" s="2" t="s">
        <v>21</v>
      </c>
      <c r="C25" s="2" t="s">
        <v>24</v>
      </c>
      <c r="D25" s="2" t="s">
        <v>15</v>
      </c>
      <c r="E25" s="2" t="str">
        <f t="shared" si="0"/>
        <v>MUJEBOTACASU</v>
      </c>
      <c r="F25" s="2" t="s">
        <v>230</v>
      </c>
      <c r="G25" s="2" t="s">
        <v>231</v>
      </c>
      <c r="H25" s="2">
        <v>119.71</v>
      </c>
      <c r="I25" s="2">
        <v>0.43469999999999998</v>
      </c>
      <c r="J25" s="2">
        <v>42</v>
      </c>
      <c r="K25" s="2" t="s">
        <v>232</v>
      </c>
    </row>
    <row r="26" spans="1:11" x14ac:dyDescent="0.25">
      <c r="A26" s="2">
        <v>18</v>
      </c>
      <c r="B26" s="2" t="s">
        <v>21</v>
      </c>
      <c r="C26" s="2" t="s">
        <v>10</v>
      </c>
      <c r="D26" s="2" t="s">
        <v>11</v>
      </c>
      <c r="E26" s="2" t="str">
        <f t="shared" si="0"/>
        <v>MUJEBOTIVEST</v>
      </c>
      <c r="F26" s="2" t="s">
        <v>233</v>
      </c>
      <c r="G26" s="2" t="s">
        <v>234</v>
      </c>
      <c r="H26" s="2">
        <v>131.22</v>
      </c>
      <c r="I26" s="2">
        <v>0.15629999999999999</v>
      </c>
      <c r="J26" s="2">
        <v>26</v>
      </c>
      <c r="K26" s="2" t="s">
        <v>235</v>
      </c>
    </row>
    <row r="27" spans="1:11" x14ac:dyDescent="0.25">
      <c r="A27" s="2">
        <v>5</v>
      </c>
      <c r="B27" s="2" t="s">
        <v>9</v>
      </c>
      <c r="C27" s="2" t="s">
        <v>27</v>
      </c>
      <c r="D27" s="2" t="s">
        <v>23</v>
      </c>
      <c r="E27" s="2" t="str">
        <f t="shared" si="0"/>
        <v>HOMBSANDOUTD</v>
      </c>
      <c r="F27" s="2" t="s">
        <v>236</v>
      </c>
      <c r="G27" s="2" t="s">
        <v>237</v>
      </c>
      <c r="H27" s="2">
        <v>132.47</v>
      </c>
      <c r="I27" s="2">
        <v>0.24490000000000001</v>
      </c>
      <c r="J27" s="2">
        <v>28</v>
      </c>
      <c r="K27" s="2" t="s">
        <v>238</v>
      </c>
    </row>
    <row r="28" spans="1:11" x14ac:dyDescent="0.25">
      <c r="A28" s="2">
        <v>17</v>
      </c>
      <c r="B28" s="2" t="s">
        <v>21</v>
      </c>
      <c r="C28" s="2" t="s">
        <v>10</v>
      </c>
      <c r="D28" s="2" t="s">
        <v>15</v>
      </c>
      <c r="E28" s="2" t="str">
        <f t="shared" si="0"/>
        <v>MUJEBOTICASU</v>
      </c>
      <c r="F28" s="2" t="s">
        <v>239</v>
      </c>
      <c r="G28" s="2" t="s">
        <v>240</v>
      </c>
      <c r="H28" s="2">
        <v>133.08000000000001</v>
      </c>
      <c r="I28" s="2">
        <v>0.66169999999999995</v>
      </c>
      <c r="J28" s="2">
        <v>45</v>
      </c>
      <c r="K28" s="2" t="s">
        <v>46</v>
      </c>
    </row>
    <row r="29" spans="1:11" x14ac:dyDescent="0.25">
      <c r="A29" s="2">
        <v>12</v>
      </c>
      <c r="B29" s="2" t="s">
        <v>9</v>
      </c>
      <c r="C29" s="2" t="s">
        <v>20</v>
      </c>
      <c r="D29" s="2" t="s">
        <v>11</v>
      </c>
      <c r="E29" s="2" t="str">
        <f t="shared" si="0"/>
        <v>HOMBZATOVEST</v>
      </c>
      <c r="F29" s="2" t="s">
        <v>241</v>
      </c>
      <c r="G29" s="2" t="s">
        <v>242</v>
      </c>
      <c r="H29" s="2">
        <v>133.16999999999999</v>
      </c>
      <c r="I29" s="2">
        <v>0.32390000000000002</v>
      </c>
      <c r="J29" s="2">
        <v>45</v>
      </c>
      <c r="K29" s="2" t="s">
        <v>243</v>
      </c>
    </row>
    <row r="30" spans="1:11" x14ac:dyDescent="0.25">
      <c r="A30" s="2">
        <v>22</v>
      </c>
      <c r="B30" s="2" t="s">
        <v>21</v>
      </c>
      <c r="C30" s="2" t="s">
        <v>27</v>
      </c>
      <c r="D30" s="2" t="s">
        <v>15</v>
      </c>
      <c r="E30" s="2" t="str">
        <f t="shared" si="0"/>
        <v>MUJESANDCASU</v>
      </c>
      <c r="F30" s="2" t="s">
        <v>244</v>
      </c>
      <c r="G30" s="2" t="s">
        <v>245</v>
      </c>
      <c r="H30" s="2">
        <v>138.86000000000001</v>
      </c>
      <c r="I30" s="2">
        <v>-0.20019999999999999</v>
      </c>
      <c r="J30" s="2">
        <v>43</v>
      </c>
      <c r="K30" s="2" t="s">
        <v>50</v>
      </c>
    </row>
    <row r="31" spans="1:11" x14ac:dyDescent="0.25">
      <c r="A31" s="2">
        <v>35</v>
      </c>
      <c r="B31" s="2" t="s">
        <v>16</v>
      </c>
      <c r="C31" s="2" t="s">
        <v>10</v>
      </c>
      <c r="D31" s="2" t="s">
        <v>11</v>
      </c>
      <c r="E31" s="2" t="str">
        <f t="shared" si="0"/>
        <v>NIÑHBOTIVEST</v>
      </c>
      <c r="F31" s="2" t="s">
        <v>246</v>
      </c>
      <c r="G31" s="2" t="s">
        <v>247</v>
      </c>
      <c r="H31" s="2">
        <v>139.97999999999999</v>
      </c>
      <c r="I31" s="2">
        <v>-0.315</v>
      </c>
      <c r="J31" s="2">
        <v>22</v>
      </c>
      <c r="K31" s="2" t="s">
        <v>50</v>
      </c>
    </row>
    <row r="32" spans="1:11" x14ac:dyDescent="0.25">
      <c r="A32" s="2">
        <v>55</v>
      </c>
      <c r="B32" s="2" t="s">
        <v>25</v>
      </c>
      <c r="C32" s="2" t="s">
        <v>20</v>
      </c>
      <c r="D32" s="2" t="s">
        <v>15</v>
      </c>
      <c r="E32" s="2" t="str">
        <f t="shared" si="0"/>
        <v>NIÑUZATOCASU</v>
      </c>
      <c r="F32" s="2" t="s">
        <v>248</v>
      </c>
      <c r="G32" s="2" t="s">
        <v>249</v>
      </c>
      <c r="H32" s="2">
        <v>140.33000000000001</v>
      </c>
      <c r="I32" s="2">
        <v>0.16520000000000001</v>
      </c>
      <c r="J32" s="2">
        <v>22</v>
      </c>
      <c r="K32" s="2" t="s">
        <v>172</v>
      </c>
    </row>
    <row r="33" spans="1:11" x14ac:dyDescent="0.25">
      <c r="A33" s="2">
        <v>26</v>
      </c>
      <c r="B33" s="2" t="s">
        <v>21</v>
      </c>
      <c r="C33" s="2" t="s">
        <v>12</v>
      </c>
      <c r="D33" s="2" t="s">
        <v>31</v>
      </c>
      <c r="E33" s="2" t="str">
        <f t="shared" si="0"/>
        <v>MUJEZAPADEPO</v>
      </c>
      <c r="F33" s="2" t="s">
        <v>250</v>
      </c>
      <c r="G33" s="2" t="s">
        <v>251</v>
      </c>
      <c r="H33" s="2">
        <v>144.13</v>
      </c>
      <c r="I33" s="2">
        <v>0.25659999999999999</v>
      </c>
      <c r="J33" s="2">
        <v>45</v>
      </c>
      <c r="K33" s="2" t="s">
        <v>26</v>
      </c>
    </row>
    <row r="34" spans="1:11" x14ac:dyDescent="0.25">
      <c r="A34" s="2">
        <v>47</v>
      </c>
      <c r="B34" s="2" t="s">
        <v>14</v>
      </c>
      <c r="C34" s="2" t="s">
        <v>12</v>
      </c>
      <c r="D34" s="2" t="s">
        <v>13</v>
      </c>
      <c r="E34" s="2" t="str">
        <f t="shared" si="0"/>
        <v>NIÑMZAPAURBA</v>
      </c>
      <c r="F34" s="2" t="s">
        <v>252</v>
      </c>
      <c r="G34" s="2" t="s">
        <v>253</v>
      </c>
      <c r="H34" s="2">
        <v>151.46</v>
      </c>
      <c r="I34" s="2">
        <v>8.48E-2</v>
      </c>
      <c r="J34" s="2">
        <v>36</v>
      </c>
      <c r="K34" s="2" t="s">
        <v>183</v>
      </c>
    </row>
    <row r="35" spans="1:11" x14ac:dyDescent="0.25">
      <c r="A35" s="2">
        <v>7</v>
      </c>
      <c r="B35" s="2" t="s">
        <v>9</v>
      </c>
      <c r="C35" s="2" t="s">
        <v>12</v>
      </c>
      <c r="D35" s="2" t="s">
        <v>31</v>
      </c>
      <c r="E35" s="2" t="str">
        <f t="shared" si="0"/>
        <v>HOMBZAPADEPO</v>
      </c>
      <c r="F35" s="2" t="s">
        <v>254</v>
      </c>
      <c r="G35" s="2" t="s">
        <v>255</v>
      </c>
      <c r="H35" s="2">
        <v>152.47</v>
      </c>
      <c r="I35" s="2">
        <v>0.1119</v>
      </c>
      <c r="J35" s="2">
        <v>40</v>
      </c>
      <c r="K35" s="2" t="s">
        <v>256</v>
      </c>
    </row>
    <row r="36" spans="1:11" x14ac:dyDescent="0.25">
      <c r="A36" s="2">
        <v>1</v>
      </c>
      <c r="B36" s="2" t="s">
        <v>9</v>
      </c>
      <c r="C36" s="2" t="s">
        <v>10</v>
      </c>
      <c r="D36" s="2" t="s">
        <v>15</v>
      </c>
      <c r="E36" s="2" t="str">
        <f t="shared" si="0"/>
        <v>HOMBBOTICASU</v>
      </c>
      <c r="F36" s="2" t="s">
        <v>257</v>
      </c>
      <c r="G36" s="2" t="s">
        <v>258</v>
      </c>
      <c r="H36" s="2">
        <v>158.55000000000001</v>
      </c>
      <c r="I36" s="2">
        <v>0.42799999999999999</v>
      </c>
      <c r="J36" s="2">
        <v>43</v>
      </c>
      <c r="K36" s="2" t="s">
        <v>46</v>
      </c>
    </row>
    <row r="37" spans="1:11" x14ac:dyDescent="0.25">
      <c r="A37" s="2">
        <v>34</v>
      </c>
      <c r="B37" s="2" t="s">
        <v>16</v>
      </c>
      <c r="C37" s="2" t="s">
        <v>10</v>
      </c>
      <c r="D37" s="2" t="s">
        <v>15</v>
      </c>
      <c r="E37" s="2" t="str">
        <f t="shared" si="0"/>
        <v>NIÑHBOTICASU</v>
      </c>
      <c r="F37" s="2" t="s">
        <v>259</v>
      </c>
      <c r="G37" s="2" t="s">
        <v>260</v>
      </c>
      <c r="H37" s="2">
        <v>161.57</v>
      </c>
      <c r="I37" s="2">
        <v>3.6499999999999998E-2</v>
      </c>
      <c r="J37" s="2">
        <v>23</v>
      </c>
      <c r="K37" s="2" t="s">
        <v>195</v>
      </c>
    </row>
    <row r="38" spans="1:11" x14ac:dyDescent="0.25">
      <c r="A38" s="2">
        <v>50</v>
      </c>
      <c r="B38" s="2" t="s">
        <v>25</v>
      </c>
      <c r="C38" s="2" t="s">
        <v>10</v>
      </c>
      <c r="D38" s="2" t="s">
        <v>15</v>
      </c>
      <c r="E38" s="2" t="str">
        <f t="shared" si="0"/>
        <v>NIÑUBOTICASU</v>
      </c>
      <c r="F38" s="2" t="s">
        <v>261</v>
      </c>
      <c r="G38" s="2" t="s">
        <v>262</v>
      </c>
      <c r="H38" s="2">
        <v>176.54</v>
      </c>
      <c r="I38" s="2">
        <v>0.55489999999999995</v>
      </c>
      <c r="J38" s="2">
        <v>32</v>
      </c>
      <c r="K38" s="2" t="s">
        <v>36</v>
      </c>
    </row>
    <row r="39" spans="1:11" x14ac:dyDescent="0.25">
      <c r="A39" s="2">
        <v>27</v>
      </c>
      <c r="B39" s="2" t="s">
        <v>21</v>
      </c>
      <c r="C39" s="2" t="s">
        <v>12</v>
      </c>
      <c r="D39" s="2" t="s">
        <v>23</v>
      </c>
      <c r="E39" s="2" t="str">
        <f t="shared" si="0"/>
        <v>MUJEZAPAOUTD</v>
      </c>
      <c r="F39" s="2" t="s">
        <v>263</v>
      </c>
      <c r="G39" s="2" t="s">
        <v>264</v>
      </c>
      <c r="H39" s="2">
        <v>180.11</v>
      </c>
      <c r="I39" s="2">
        <v>0.4723</v>
      </c>
      <c r="J39" s="2">
        <v>45</v>
      </c>
      <c r="K39" s="2" t="s">
        <v>33</v>
      </c>
    </row>
    <row r="40" spans="1:11" x14ac:dyDescent="0.25">
      <c r="A40" s="2">
        <v>39</v>
      </c>
      <c r="B40" s="2" t="s">
        <v>16</v>
      </c>
      <c r="C40" s="2" t="s">
        <v>12</v>
      </c>
      <c r="D40" s="2" t="s">
        <v>13</v>
      </c>
      <c r="E40" s="2" t="str">
        <f t="shared" si="0"/>
        <v>NIÑHZAPAURBA</v>
      </c>
      <c r="F40" s="2" t="s">
        <v>265</v>
      </c>
      <c r="G40" s="2" t="s">
        <v>266</v>
      </c>
      <c r="H40" s="2">
        <v>182.77</v>
      </c>
      <c r="I40" s="2">
        <v>0.24410000000000001</v>
      </c>
      <c r="J40" s="2">
        <v>45</v>
      </c>
      <c r="K40" s="2" t="s">
        <v>43</v>
      </c>
    </row>
    <row r="41" spans="1:11" x14ac:dyDescent="0.25">
      <c r="A41" s="2">
        <v>49</v>
      </c>
      <c r="B41" s="2" t="s">
        <v>25</v>
      </c>
      <c r="C41" s="2" t="s">
        <v>28</v>
      </c>
      <c r="D41" s="2" t="s">
        <v>29</v>
      </c>
      <c r="E41" s="2" t="str">
        <f t="shared" si="0"/>
        <v>NIÑUAQUANA</v>
      </c>
      <c r="F41" s="2" t="s">
        <v>267</v>
      </c>
      <c r="G41" s="2" t="s">
        <v>268</v>
      </c>
      <c r="H41" s="2">
        <v>183.97</v>
      </c>
      <c r="I41" s="2">
        <v>0.27410000000000001</v>
      </c>
      <c r="J41" s="2">
        <v>22</v>
      </c>
      <c r="K41" s="2" t="s">
        <v>269</v>
      </c>
    </row>
    <row r="42" spans="1:11" x14ac:dyDescent="0.25">
      <c r="A42" s="2">
        <v>32</v>
      </c>
      <c r="B42" s="2" t="s">
        <v>21</v>
      </c>
      <c r="C42" s="2" t="s">
        <v>20</v>
      </c>
      <c r="D42" s="2" t="s">
        <v>11</v>
      </c>
      <c r="E42" s="2" t="str">
        <f t="shared" si="0"/>
        <v>MUJEZATOVEST</v>
      </c>
      <c r="F42" s="2" t="s">
        <v>270</v>
      </c>
      <c r="G42" s="2" t="s">
        <v>271</v>
      </c>
      <c r="H42" s="2">
        <v>192.12</v>
      </c>
      <c r="I42" s="2">
        <v>0.31169999999999998</v>
      </c>
      <c r="J42" s="2">
        <v>45</v>
      </c>
      <c r="K42" s="2" t="s">
        <v>26</v>
      </c>
    </row>
    <row r="43" spans="1:11" x14ac:dyDescent="0.25">
      <c r="A43" s="2">
        <v>6</v>
      </c>
      <c r="B43" s="2" t="s">
        <v>9</v>
      </c>
      <c r="C43" s="2" t="s">
        <v>27</v>
      </c>
      <c r="D43" s="2" t="s">
        <v>40</v>
      </c>
      <c r="E43" s="2" t="str">
        <f t="shared" si="0"/>
        <v>HOMBSANDPLAY</v>
      </c>
      <c r="F43" s="2" t="s">
        <v>272</v>
      </c>
      <c r="G43" s="2" t="s">
        <v>273</v>
      </c>
      <c r="H43" s="2">
        <v>198.47</v>
      </c>
      <c r="I43" s="2">
        <v>0.5242</v>
      </c>
      <c r="J43" s="2">
        <v>39</v>
      </c>
      <c r="K43" s="2" t="s">
        <v>274</v>
      </c>
    </row>
    <row r="44" spans="1:11" x14ac:dyDescent="0.25">
      <c r="A44" s="2">
        <v>24</v>
      </c>
      <c r="B44" s="2" t="s">
        <v>21</v>
      </c>
      <c r="C44" s="2" t="s">
        <v>27</v>
      </c>
      <c r="D44" s="2" t="s">
        <v>40</v>
      </c>
      <c r="E44" s="2" t="str">
        <f t="shared" si="0"/>
        <v>MUJESANDPLAY</v>
      </c>
      <c r="F44" s="2" t="s">
        <v>275</v>
      </c>
      <c r="G44" s="2" t="s">
        <v>276</v>
      </c>
      <c r="H44" s="2">
        <v>200.26</v>
      </c>
      <c r="I44" s="2">
        <v>0.4839</v>
      </c>
      <c r="J44" s="2">
        <v>33</v>
      </c>
      <c r="K44" s="2" t="s">
        <v>277</v>
      </c>
    </row>
    <row r="45" spans="1:11" x14ac:dyDescent="0.25">
      <c r="A45" s="2">
        <v>41</v>
      </c>
      <c r="B45" s="2" t="s">
        <v>14</v>
      </c>
      <c r="C45" s="2" t="s">
        <v>17</v>
      </c>
      <c r="D45" s="2" t="s">
        <v>32</v>
      </c>
      <c r="E45" s="2" t="str">
        <f t="shared" si="0"/>
        <v>NIÑMBOAGBASI</v>
      </c>
      <c r="F45" s="2" t="s">
        <v>278</v>
      </c>
      <c r="G45" s="2" t="s">
        <v>279</v>
      </c>
      <c r="H45" s="2">
        <v>204.77</v>
      </c>
      <c r="I45" s="2">
        <v>-3.3999999999999998E-3</v>
      </c>
      <c r="J45" s="2">
        <v>17</v>
      </c>
      <c r="K45" s="2" t="s">
        <v>50</v>
      </c>
    </row>
    <row r="46" spans="1:11" x14ac:dyDescent="0.25">
      <c r="A46" s="2">
        <v>8</v>
      </c>
      <c r="B46" s="2" t="s">
        <v>9</v>
      </c>
      <c r="C46" s="2" t="s">
        <v>12</v>
      </c>
      <c r="D46" s="2" t="s">
        <v>34</v>
      </c>
      <c r="E46" s="2" t="str">
        <f t="shared" si="0"/>
        <v>HOMBZAPAFUTB</v>
      </c>
      <c r="F46" s="2" t="s">
        <v>280</v>
      </c>
      <c r="G46" s="2" t="s">
        <v>281</v>
      </c>
      <c r="H46" s="2">
        <v>208.23</v>
      </c>
      <c r="I46" s="2">
        <v>0.2082</v>
      </c>
      <c r="J46" s="2">
        <v>41</v>
      </c>
      <c r="K46" s="2" t="s">
        <v>183</v>
      </c>
    </row>
    <row r="47" spans="1:11" x14ac:dyDescent="0.25">
      <c r="A47" s="2">
        <v>37</v>
      </c>
      <c r="B47" s="2" t="s">
        <v>16</v>
      </c>
      <c r="C47" s="2" t="s">
        <v>12</v>
      </c>
      <c r="D47" s="2" t="s">
        <v>31</v>
      </c>
      <c r="E47" s="2" t="str">
        <f t="shared" si="0"/>
        <v>NIÑHZAPADEPO</v>
      </c>
      <c r="F47" s="2" t="s">
        <v>282</v>
      </c>
      <c r="G47" s="2" t="s">
        <v>283</v>
      </c>
      <c r="H47" s="2">
        <v>211.8</v>
      </c>
      <c r="I47" s="2">
        <v>0.49249999999999999</v>
      </c>
      <c r="J47" s="2">
        <v>34</v>
      </c>
      <c r="K47" s="2" t="s">
        <v>284</v>
      </c>
    </row>
    <row r="48" spans="1:11" x14ac:dyDescent="0.25">
      <c r="A48" s="2">
        <v>14</v>
      </c>
      <c r="B48" s="2" t="s">
        <v>21</v>
      </c>
      <c r="C48" s="2" t="s">
        <v>17</v>
      </c>
      <c r="D48" s="2" t="s">
        <v>32</v>
      </c>
      <c r="E48" s="2" t="str">
        <f t="shared" si="0"/>
        <v>MUJEBOAGBASI</v>
      </c>
      <c r="F48" s="2" t="s">
        <v>285</v>
      </c>
      <c r="G48" s="2" t="s">
        <v>286</v>
      </c>
      <c r="H48" s="2">
        <v>212.78</v>
      </c>
      <c r="I48" s="2">
        <v>0.26190000000000002</v>
      </c>
      <c r="J48" s="2">
        <v>33</v>
      </c>
      <c r="K48" s="2" t="s">
        <v>49</v>
      </c>
    </row>
    <row r="49" spans="1:11" x14ac:dyDescent="0.25">
      <c r="A49" s="2">
        <v>52</v>
      </c>
      <c r="B49" s="2" t="s">
        <v>25</v>
      </c>
      <c r="C49" s="2" t="s">
        <v>12</v>
      </c>
      <c r="D49" s="2" t="s">
        <v>31</v>
      </c>
      <c r="E49" s="2" t="str">
        <f t="shared" si="0"/>
        <v>NIÑUZAPADEPO</v>
      </c>
      <c r="F49" s="2" t="s">
        <v>287</v>
      </c>
      <c r="G49" s="2" t="s">
        <v>288</v>
      </c>
      <c r="H49" s="2">
        <v>228.16</v>
      </c>
      <c r="I49" s="2">
        <v>0.13039999999999999</v>
      </c>
      <c r="J49" s="2">
        <v>44</v>
      </c>
      <c r="K49" s="2" t="s">
        <v>43</v>
      </c>
    </row>
    <row r="50" spans="1:11" x14ac:dyDescent="0.25">
      <c r="A50" s="2">
        <v>33</v>
      </c>
      <c r="B50" s="2" t="s">
        <v>16</v>
      </c>
      <c r="C50" s="2" t="s">
        <v>17</v>
      </c>
      <c r="D50" s="2" t="s">
        <v>18</v>
      </c>
      <c r="E50" s="2" t="str">
        <f t="shared" si="0"/>
        <v>NIÑHBOAGDISE</v>
      </c>
      <c r="F50" s="2" t="s">
        <v>289</v>
      </c>
      <c r="G50" s="2" t="s">
        <v>290</v>
      </c>
      <c r="H50" s="2">
        <v>266.08999999999997</v>
      </c>
      <c r="I50" s="2">
        <v>0.4516</v>
      </c>
      <c r="J50" s="2">
        <v>17</v>
      </c>
      <c r="K50" s="2" t="s">
        <v>291</v>
      </c>
    </row>
    <row r="51" spans="1:11" x14ac:dyDescent="0.25">
      <c r="A51" s="2">
        <v>10</v>
      </c>
      <c r="B51" s="2" t="s">
        <v>9</v>
      </c>
      <c r="C51" s="2" t="s">
        <v>12</v>
      </c>
      <c r="D51" s="2" t="s">
        <v>13</v>
      </c>
      <c r="E51" s="2" t="str">
        <f t="shared" si="0"/>
        <v>HOMBZAPAURBA</v>
      </c>
      <c r="F51" s="2" t="s">
        <v>292</v>
      </c>
      <c r="G51" s="2" t="s">
        <v>293</v>
      </c>
      <c r="H51" s="2">
        <v>268.04000000000002</v>
      </c>
      <c r="I51" s="2">
        <v>0.56430000000000002</v>
      </c>
      <c r="J51" s="2">
        <v>45</v>
      </c>
      <c r="K51" s="2" t="s">
        <v>294</v>
      </c>
    </row>
    <row r="52" spans="1:11" x14ac:dyDescent="0.25">
      <c r="A52" s="2">
        <v>40</v>
      </c>
      <c r="B52" s="2" t="s">
        <v>16</v>
      </c>
      <c r="C52" s="2" t="s">
        <v>20</v>
      </c>
      <c r="D52" s="2" t="s">
        <v>11</v>
      </c>
      <c r="E52" s="2" t="str">
        <f t="shared" si="0"/>
        <v>NIÑHZATOVEST</v>
      </c>
      <c r="F52" s="2" t="s">
        <v>295</v>
      </c>
      <c r="G52" s="2" t="s">
        <v>296</v>
      </c>
      <c r="H52" s="2">
        <v>278.05</v>
      </c>
      <c r="I52" s="2">
        <v>0.2601</v>
      </c>
      <c r="J52" s="2">
        <v>10</v>
      </c>
      <c r="K52" s="2" t="s">
        <v>297</v>
      </c>
    </row>
    <row r="53" spans="1:11" x14ac:dyDescent="0.25">
      <c r="A53" s="2">
        <v>21</v>
      </c>
      <c r="B53" s="2" t="s">
        <v>21</v>
      </c>
      <c r="C53" s="2" t="s">
        <v>39</v>
      </c>
      <c r="D53" s="2" t="s">
        <v>31</v>
      </c>
      <c r="E53" s="2" t="str">
        <f t="shared" si="0"/>
        <v>MUJEPUNTDEPO</v>
      </c>
      <c r="F53" s="2" t="s">
        <v>298</v>
      </c>
      <c r="G53" s="2" t="s">
        <v>299</v>
      </c>
      <c r="H53" s="2">
        <v>284.47000000000003</v>
      </c>
      <c r="I53" s="2">
        <v>2.87E-2</v>
      </c>
      <c r="J53" s="2">
        <v>29</v>
      </c>
      <c r="K53" s="2" t="s">
        <v>47</v>
      </c>
    </row>
    <row r="54" spans="1:11" x14ac:dyDescent="0.25">
      <c r="A54" s="2">
        <v>48</v>
      </c>
      <c r="B54" s="2" t="s">
        <v>14</v>
      </c>
      <c r="C54" s="2" t="s">
        <v>20</v>
      </c>
      <c r="D54" s="2" t="s">
        <v>11</v>
      </c>
      <c r="E54" s="2" t="str">
        <f t="shared" si="0"/>
        <v>NIÑMZATOVEST</v>
      </c>
      <c r="F54" s="2" t="s">
        <v>300</v>
      </c>
      <c r="G54" s="2" t="s">
        <v>301</v>
      </c>
      <c r="H54" s="2">
        <v>285.32</v>
      </c>
      <c r="I54" s="2">
        <v>3.44E-2</v>
      </c>
      <c r="J54" s="2">
        <v>41</v>
      </c>
      <c r="K54" s="2" t="s">
        <v>302</v>
      </c>
    </row>
    <row r="55" spans="1:11" x14ac:dyDescent="0.25">
      <c r="A55" s="2">
        <v>46</v>
      </c>
      <c r="B55" s="2" t="s">
        <v>14</v>
      </c>
      <c r="C55" s="2" t="s">
        <v>12</v>
      </c>
      <c r="D55" s="2" t="s">
        <v>31</v>
      </c>
      <c r="E55" s="2" t="str">
        <f t="shared" si="0"/>
        <v>NIÑMZAPADEPO</v>
      </c>
      <c r="F55" s="2" t="s">
        <v>303</v>
      </c>
      <c r="G55" s="2" t="s">
        <v>304</v>
      </c>
      <c r="H55" s="2">
        <v>287.22000000000003</v>
      </c>
      <c r="I55" s="2">
        <v>4.2599999999999999E-2</v>
      </c>
      <c r="J55" s="2">
        <v>31</v>
      </c>
      <c r="K55" s="2" t="s">
        <v>305</v>
      </c>
    </row>
    <row r="56" spans="1:11" x14ac:dyDescent="0.25">
      <c r="A56" s="2">
        <v>54</v>
      </c>
      <c r="B56" s="2" t="s">
        <v>25</v>
      </c>
      <c r="C56" s="2" t="s">
        <v>12</v>
      </c>
      <c r="D56" s="2" t="s">
        <v>13</v>
      </c>
      <c r="E56" s="2" t="str">
        <f t="shared" si="0"/>
        <v>NIÑUZAPAURBA</v>
      </c>
      <c r="F56" s="2" t="s">
        <v>306</v>
      </c>
      <c r="G56" s="2" t="s">
        <v>307</v>
      </c>
      <c r="H56" s="2">
        <v>315.61</v>
      </c>
      <c r="I56" s="2">
        <v>3.6799999999999999E-2</v>
      </c>
      <c r="J56" s="2">
        <v>36</v>
      </c>
      <c r="K56" s="2" t="s">
        <v>308</v>
      </c>
    </row>
    <row r="57" spans="1:11" x14ac:dyDescent="0.25">
      <c r="A57" s="2">
        <v>42</v>
      </c>
      <c r="B57" s="2" t="s">
        <v>14</v>
      </c>
      <c r="C57" s="2" t="s">
        <v>17</v>
      </c>
      <c r="D57" s="2" t="s">
        <v>18</v>
      </c>
      <c r="E57" s="2" t="str">
        <f t="shared" si="0"/>
        <v>NIÑMBOAGDISE</v>
      </c>
      <c r="F57" s="2" t="s">
        <v>309</v>
      </c>
      <c r="G57" s="2" t="s">
        <v>310</v>
      </c>
      <c r="H57" s="2">
        <v>343.44</v>
      </c>
      <c r="I57" s="2">
        <v>0.22170000000000001</v>
      </c>
      <c r="J57" s="2">
        <v>24</v>
      </c>
      <c r="K57" s="2" t="s">
        <v>195</v>
      </c>
    </row>
    <row r="58" spans="1:11" x14ac:dyDescent="0.25">
      <c r="A58" s="2">
        <v>25</v>
      </c>
      <c r="B58" s="2" t="s">
        <v>21</v>
      </c>
      <c r="C58" s="2" t="s">
        <v>27</v>
      </c>
      <c r="D58" s="2" t="s">
        <v>11</v>
      </c>
      <c r="E58" s="2" t="str">
        <f t="shared" si="0"/>
        <v>MUJESANDVEST</v>
      </c>
      <c r="F58" s="2" t="s">
        <v>311</v>
      </c>
      <c r="G58" s="2" t="s">
        <v>312</v>
      </c>
      <c r="H58" s="2">
        <v>628.88</v>
      </c>
      <c r="I58" s="2">
        <v>0.20119999999999999</v>
      </c>
      <c r="J58" s="2">
        <v>21</v>
      </c>
      <c r="K58" s="2" t="s">
        <v>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CE4C5-9634-431C-AAFF-4D506F6728FA}">
  <dimension ref="A1:J58"/>
  <sheetViews>
    <sheetView workbookViewId="0">
      <selection activeCell="G12" sqref="G12"/>
    </sheetView>
  </sheetViews>
  <sheetFormatPr baseColWidth="10" defaultRowHeight="15" x14ac:dyDescent="0.25"/>
  <cols>
    <col min="1" max="1" width="3" bestFit="1" customWidth="1"/>
    <col min="10" max="10" width="16.140625" bestFit="1" customWidth="1"/>
  </cols>
  <sheetData>
    <row r="1" spans="1:10" x14ac:dyDescent="0.25">
      <c r="A1" s="2" t="s">
        <v>165</v>
      </c>
      <c r="B1" s="2" t="s">
        <v>0</v>
      </c>
      <c r="C1" s="2" t="s">
        <v>1</v>
      </c>
      <c r="D1" s="2" t="s">
        <v>2</v>
      </c>
      <c r="E1" s="2" t="s">
        <v>165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x14ac:dyDescent="0.25">
      <c r="A2" s="2">
        <v>21</v>
      </c>
      <c r="B2" s="2" t="s">
        <v>21</v>
      </c>
      <c r="C2" s="2" t="s">
        <v>39</v>
      </c>
      <c r="D2" s="2" t="s">
        <v>31</v>
      </c>
      <c r="E2" s="2" t="str">
        <f>B2&amp;C2&amp;D2</f>
        <v>MUJEPUNTDEPO</v>
      </c>
      <c r="F2" s="2" t="s">
        <v>51</v>
      </c>
      <c r="G2" s="2" t="s">
        <v>52</v>
      </c>
      <c r="H2" s="2">
        <v>23.68</v>
      </c>
      <c r="I2" s="28">
        <v>0.754</v>
      </c>
      <c r="J2" s="2">
        <v>29</v>
      </c>
    </row>
    <row r="3" spans="1:10" x14ac:dyDescent="0.25">
      <c r="A3" s="2">
        <v>11</v>
      </c>
      <c r="B3" s="2" t="s">
        <v>9</v>
      </c>
      <c r="C3" s="2" t="s">
        <v>20</v>
      </c>
      <c r="D3" s="2" t="s">
        <v>15</v>
      </c>
      <c r="E3" s="2" t="str">
        <f t="shared" ref="E3:E58" si="0">B3&amp;C3&amp;D3</f>
        <v>HOMBZATOCASU</v>
      </c>
      <c r="F3" s="2" t="s">
        <v>53</v>
      </c>
      <c r="G3" s="2" t="s">
        <v>54</v>
      </c>
      <c r="H3" s="2">
        <v>35.979999999999997</v>
      </c>
      <c r="I3" s="28">
        <v>0.75660000000000005</v>
      </c>
      <c r="J3" s="2">
        <v>45</v>
      </c>
    </row>
    <row r="4" spans="1:10" x14ac:dyDescent="0.25">
      <c r="A4" s="2">
        <v>53</v>
      </c>
      <c r="B4" s="2" t="s">
        <v>25</v>
      </c>
      <c r="C4" s="2" t="s">
        <v>12</v>
      </c>
      <c r="D4" s="2" t="s">
        <v>23</v>
      </c>
      <c r="E4" s="2" t="str">
        <f t="shared" si="0"/>
        <v>NIÑUZAPAOUTD</v>
      </c>
      <c r="F4" s="2" t="s">
        <v>55</v>
      </c>
      <c r="G4" s="2" t="s">
        <v>56</v>
      </c>
      <c r="H4" s="2">
        <v>36.44</v>
      </c>
      <c r="I4" s="28">
        <v>0.87119999999999997</v>
      </c>
      <c r="J4" s="2">
        <v>19</v>
      </c>
    </row>
    <row r="5" spans="1:10" x14ac:dyDescent="0.25">
      <c r="A5" s="2">
        <v>9</v>
      </c>
      <c r="B5" s="2" t="s">
        <v>9</v>
      </c>
      <c r="C5" s="2" t="s">
        <v>12</v>
      </c>
      <c r="D5" s="2" t="s">
        <v>23</v>
      </c>
      <c r="E5" s="2" t="str">
        <f t="shared" si="0"/>
        <v>HOMBZAPAOUTD</v>
      </c>
      <c r="F5" s="2" t="s">
        <v>57</v>
      </c>
      <c r="G5" s="2" t="s">
        <v>58</v>
      </c>
      <c r="H5" s="2">
        <v>39.44</v>
      </c>
      <c r="I5" s="28">
        <v>0.77949999999999997</v>
      </c>
      <c r="J5" s="2">
        <v>45</v>
      </c>
    </row>
    <row r="6" spans="1:10" x14ac:dyDescent="0.25">
      <c r="A6" s="2">
        <v>4</v>
      </c>
      <c r="B6" s="2" t="s">
        <v>9</v>
      </c>
      <c r="C6" s="2" t="s">
        <v>27</v>
      </c>
      <c r="D6" s="2" t="s">
        <v>15</v>
      </c>
      <c r="E6" s="2" t="str">
        <f t="shared" si="0"/>
        <v>HOMBSANDCASU</v>
      </c>
      <c r="F6" s="2" t="s">
        <v>59</v>
      </c>
      <c r="G6" s="2" t="s">
        <v>60</v>
      </c>
      <c r="H6" s="2">
        <v>41.38</v>
      </c>
      <c r="I6" s="28">
        <v>0.89739999999999998</v>
      </c>
      <c r="J6" s="2">
        <v>37</v>
      </c>
    </row>
    <row r="7" spans="1:10" x14ac:dyDescent="0.25">
      <c r="A7" s="2">
        <v>2</v>
      </c>
      <c r="B7" s="2" t="s">
        <v>9</v>
      </c>
      <c r="C7" s="2" t="s">
        <v>10</v>
      </c>
      <c r="D7" s="2" t="s">
        <v>23</v>
      </c>
      <c r="E7" s="2" t="str">
        <f t="shared" si="0"/>
        <v>HOMBBOTIOUTD</v>
      </c>
      <c r="F7" s="2" t="s">
        <v>61</v>
      </c>
      <c r="G7" s="2" t="s">
        <v>62</v>
      </c>
      <c r="H7" s="2">
        <v>45.4</v>
      </c>
      <c r="I7" s="28">
        <v>0.78459999999999996</v>
      </c>
      <c r="J7" s="2">
        <v>10</v>
      </c>
    </row>
    <row r="8" spans="1:10" x14ac:dyDescent="0.25">
      <c r="A8" s="2">
        <v>45</v>
      </c>
      <c r="B8" s="2" t="s">
        <v>14</v>
      </c>
      <c r="C8" s="2" t="s">
        <v>27</v>
      </c>
      <c r="D8" s="2" t="s">
        <v>15</v>
      </c>
      <c r="E8" s="2" t="str">
        <f t="shared" si="0"/>
        <v>NIÑMSANDCASU</v>
      </c>
      <c r="F8" s="2" t="s">
        <v>63</v>
      </c>
      <c r="G8" s="2" t="s">
        <v>64</v>
      </c>
      <c r="H8" s="2">
        <v>48.75</v>
      </c>
      <c r="I8" s="28">
        <v>0.7329</v>
      </c>
      <c r="J8" s="2">
        <v>35</v>
      </c>
    </row>
    <row r="9" spans="1:10" x14ac:dyDescent="0.25">
      <c r="A9" s="2">
        <v>16</v>
      </c>
      <c r="B9" s="2" t="s">
        <v>21</v>
      </c>
      <c r="C9" s="2" t="s">
        <v>24</v>
      </c>
      <c r="D9" s="2" t="s">
        <v>15</v>
      </c>
      <c r="E9" s="2" t="str">
        <f t="shared" si="0"/>
        <v>MUJEBOTACASU</v>
      </c>
      <c r="F9" s="2" t="s">
        <v>65</v>
      </c>
      <c r="G9" s="2" t="s">
        <v>66</v>
      </c>
      <c r="H9" s="2">
        <v>48.75</v>
      </c>
      <c r="I9" s="28">
        <v>0.94</v>
      </c>
      <c r="J9" s="2">
        <v>42</v>
      </c>
    </row>
    <row r="10" spans="1:10" x14ac:dyDescent="0.25">
      <c r="A10" s="2">
        <v>36</v>
      </c>
      <c r="B10" s="2" t="s">
        <v>16</v>
      </c>
      <c r="C10" s="2" t="s">
        <v>27</v>
      </c>
      <c r="D10" s="2" t="s">
        <v>15</v>
      </c>
      <c r="E10" s="2" t="str">
        <f t="shared" si="0"/>
        <v>NIÑHSANDCASU</v>
      </c>
      <c r="F10" s="2" t="s">
        <v>67</v>
      </c>
      <c r="G10" s="2" t="s">
        <v>68</v>
      </c>
      <c r="H10" s="2">
        <v>50.06</v>
      </c>
      <c r="I10" s="28">
        <v>0.86939999999999995</v>
      </c>
      <c r="J10" s="2">
        <v>27</v>
      </c>
    </row>
    <row r="11" spans="1:10" x14ac:dyDescent="0.25">
      <c r="A11" s="2">
        <v>12</v>
      </c>
      <c r="B11" s="2" t="s">
        <v>9</v>
      </c>
      <c r="C11" s="2" t="s">
        <v>20</v>
      </c>
      <c r="D11" s="2" t="s">
        <v>11</v>
      </c>
      <c r="E11" s="2" t="str">
        <f t="shared" si="0"/>
        <v>HOMBZATOVEST</v>
      </c>
      <c r="F11" s="2" t="s">
        <v>69</v>
      </c>
      <c r="G11" s="2" t="s">
        <v>70</v>
      </c>
      <c r="H11" s="2">
        <v>65.27</v>
      </c>
      <c r="I11" s="28">
        <v>0.90949999999999998</v>
      </c>
      <c r="J11" s="2">
        <v>45</v>
      </c>
    </row>
    <row r="12" spans="1:10" x14ac:dyDescent="0.25">
      <c r="A12" s="2">
        <v>29</v>
      </c>
      <c r="B12" s="2" t="s">
        <v>21</v>
      </c>
      <c r="C12" s="2" t="s">
        <v>12</v>
      </c>
      <c r="D12" s="2" t="s">
        <v>13</v>
      </c>
      <c r="E12" s="2" t="str">
        <f t="shared" si="0"/>
        <v>MUJEZAPAURBA</v>
      </c>
      <c r="F12" s="2" t="s">
        <v>71</v>
      </c>
      <c r="G12" s="2" t="s">
        <v>72</v>
      </c>
      <c r="H12" s="2">
        <v>69.64</v>
      </c>
      <c r="I12" s="28">
        <v>0.76910000000000001</v>
      </c>
      <c r="J12" s="2">
        <v>45</v>
      </c>
    </row>
    <row r="13" spans="1:10" x14ac:dyDescent="0.25">
      <c r="A13" s="2">
        <v>15</v>
      </c>
      <c r="B13" s="2" t="s">
        <v>21</v>
      </c>
      <c r="C13" s="2" t="s">
        <v>17</v>
      </c>
      <c r="D13" s="2" t="s">
        <v>18</v>
      </c>
      <c r="E13" s="2" t="str">
        <f t="shared" si="0"/>
        <v>MUJEBOAGDISE</v>
      </c>
      <c r="F13" s="2" t="s">
        <v>73</v>
      </c>
      <c r="G13" s="2" t="s">
        <v>74</v>
      </c>
      <c r="H13" s="2">
        <v>70.95</v>
      </c>
      <c r="I13" s="28">
        <v>0.8145</v>
      </c>
      <c r="J13" s="2">
        <v>35</v>
      </c>
    </row>
    <row r="14" spans="1:10" x14ac:dyDescent="0.25">
      <c r="A14" s="2">
        <v>44</v>
      </c>
      <c r="B14" s="2" t="s">
        <v>14</v>
      </c>
      <c r="C14" s="2" t="s">
        <v>10</v>
      </c>
      <c r="D14" s="2" t="s">
        <v>15</v>
      </c>
      <c r="E14" s="2" t="str">
        <f t="shared" si="0"/>
        <v>NIÑMBOTICASU</v>
      </c>
      <c r="F14" s="2" t="s">
        <v>75</v>
      </c>
      <c r="G14" s="2" t="s">
        <v>76</v>
      </c>
      <c r="H14" s="2">
        <v>71.84</v>
      </c>
      <c r="I14" s="28">
        <v>0.80700000000000005</v>
      </c>
      <c r="J14" s="2">
        <v>36</v>
      </c>
    </row>
    <row r="15" spans="1:10" x14ac:dyDescent="0.25">
      <c r="A15" s="2">
        <v>17</v>
      </c>
      <c r="B15" s="2" t="s">
        <v>21</v>
      </c>
      <c r="C15" s="2" t="s">
        <v>10</v>
      </c>
      <c r="D15" s="2" t="s">
        <v>15</v>
      </c>
      <c r="E15" s="2" t="str">
        <f t="shared" si="0"/>
        <v>MUJEBOTICASU</v>
      </c>
      <c r="F15" s="2" t="s">
        <v>77</v>
      </c>
      <c r="G15" s="2" t="s">
        <v>78</v>
      </c>
      <c r="H15" s="2">
        <v>72.650000000000006</v>
      </c>
      <c r="I15" s="28">
        <v>0.83679999999999999</v>
      </c>
      <c r="J15" s="2">
        <v>45</v>
      </c>
    </row>
    <row r="16" spans="1:10" x14ac:dyDescent="0.25">
      <c r="A16" s="2">
        <v>19</v>
      </c>
      <c r="B16" s="2" t="s">
        <v>21</v>
      </c>
      <c r="C16" s="2" t="s">
        <v>41</v>
      </c>
      <c r="D16" s="2" t="s">
        <v>42</v>
      </c>
      <c r="E16" s="2" t="str">
        <f t="shared" si="0"/>
        <v>MUJEEVAPANT</v>
      </c>
      <c r="F16" s="2" t="s">
        <v>79</v>
      </c>
      <c r="G16" s="2" t="s">
        <v>80</v>
      </c>
      <c r="H16" s="2">
        <v>74.239999999999995</v>
      </c>
      <c r="I16" s="28">
        <v>0.37469999999999998</v>
      </c>
      <c r="J16" s="2">
        <v>16</v>
      </c>
    </row>
    <row r="17" spans="1:10" x14ac:dyDescent="0.25">
      <c r="A17" s="2">
        <v>20</v>
      </c>
      <c r="B17" s="2" t="s">
        <v>21</v>
      </c>
      <c r="C17" s="2" t="s">
        <v>39</v>
      </c>
      <c r="D17" s="2" t="s">
        <v>15</v>
      </c>
      <c r="E17" s="2" t="str">
        <f t="shared" si="0"/>
        <v>MUJEPUNTCASU</v>
      </c>
      <c r="F17" s="2" t="s">
        <v>81</v>
      </c>
      <c r="G17" s="2" t="s">
        <v>82</v>
      </c>
      <c r="H17" s="2">
        <v>75.11</v>
      </c>
      <c r="I17" s="28">
        <v>0.3569</v>
      </c>
      <c r="J17" s="2">
        <v>18</v>
      </c>
    </row>
    <row r="18" spans="1:10" x14ac:dyDescent="0.25">
      <c r="A18" s="2">
        <v>31</v>
      </c>
      <c r="B18" s="2" t="s">
        <v>21</v>
      </c>
      <c r="C18" s="2" t="s">
        <v>20</v>
      </c>
      <c r="D18" s="2" t="s">
        <v>37</v>
      </c>
      <c r="E18" s="2" t="str">
        <f t="shared" si="0"/>
        <v>MUJEZATOFIES</v>
      </c>
      <c r="F18" s="2" t="s">
        <v>83</v>
      </c>
      <c r="G18" s="2" t="s">
        <v>84</v>
      </c>
      <c r="H18" s="2">
        <v>75.790000000000006</v>
      </c>
      <c r="I18" s="28">
        <v>0.11119999999999999</v>
      </c>
      <c r="J18" s="2">
        <v>11</v>
      </c>
    </row>
    <row r="19" spans="1:10" x14ac:dyDescent="0.25">
      <c r="A19" s="2">
        <v>47</v>
      </c>
      <c r="B19" s="2" t="s">
        <v>14</v>
      </c>
      <c r="C19" s="2" t="s">
        <v>12</v>
      </c>
      <c r="D19" s="2" t="s">
        <v>13</v>
      </c>
      <c r="E19" s="2" t="str">
        <f t="shared" si="0"/>
        <v>NIÑMZAPAURBA</v>
      </c>
      <c r="F19" s="2" t="s">
        <v>85</v>
      </c>
      <c r="G19" s="2" t="s">
        <v>86</v>
      </c>
      <c r="H19" s="2">
        <v>76.67</v>
      </c>
      <c r="I19" s="28">
        <v>0.65390000000000004</v>
      </c>
      <c r="J19" s="2">
        <v>36</v>
      </c>
    </row>
    <row r="20" spans="1:10" x14ac:dyDescent="0.25">
      <c r="A20" s="2">
        <v>30</v>
      </c>
      <c r="B20" s="2" t="s">
        <v>21</v>
      </c>
      <c r="C20" s="2" t="s">
        <v>20</v>
      </c>
      <c r="D20" s="2" t="s">
        <v>15</v>
      </c>
      <c r="E20" s="2" t="str">
        <f t="shared" si="0"/>
        <v>MUJEZATOCASU</v>
      </c>
      <c r="F20" s="2" t="s">
        <v>87</v>
      </c>
      <c r="G20" s="2" t="s">
        <v>88</v>
      </c>
      <c r="H20" s="2">
        <v>77.28</v>
      </c>
      <c r="I20" s="28">
        <v>0.55730000000000002</v>
      </c>
      <c r="J20" s="2">
        <v>45</v>
      </c>
    </row>
    <row r="21" spans="1:10" x14ac:dyDescent="0.25">
      <c r="A21" s="2">
        <v>43</v>
      </c>
      <c r="B21" s="2" t="s">
        <v>14</v>
      </c>
      <c r="C21" s="2" t="s">
        <v>24</v>
      </c>
      <c r="D21" s="2" t="s">
        <v>15</v>
      </c>
      <c r="E21" s="2" t="str">
        <f t="shared" si="0"/>
        <v>NIÑMBOTACASU</v>
      </c>
      <c r="F21" s="2" t="s">
        <v>89</v>
      </c>
      <c r="G21" s="2" t="s">
        <v>90</v>
      </c>
      <c r="H21" s="2">
        <v>80.63</v>
      </c>
      <c r="I21" s="28">
        <v>0.93910000000000005</v>
      </c>
      <c r="J21" s="2">
        <v>34</v>
      </c>
    </row>
    <row r="22" spans="1:10" x14ac:dyDescent="0.25">
      <c r="A22" s="2">
        <v>23</v>
      </c>
      <c r="B22" s="2" t="s">
        <v>21</v>
      </c>
      <c r="C22" s="2" t="s">
        <v>27</v>
      </c>
      <c r="D22" s="2" t="s">
        <v>31</v>
      </c>
      <c r="E22" s="2" t="str">
        <f t="shared" si="0"/>
        <v>MUJESANDDEPO</v>
      </c>
      <c r="F22" s="2" t="s">
        <v>91</v>
      </c>
      <c r="G22" s="2" t="s">
        <v>92</v>
      </c>
      <c r="H22" s="2">
        <v>80.81</v>
      </c>
      <c r="I22" s="28">
        <v>0.67710000000000004</v>
      </c>
      <c r="J22" s="2">
        <v>17</v>
      </c>
    </row>
    <row r="23" spans="1:10" x14ac:dyDescent="0.25">
      <c r="A23" s="2">
        <v>28</v>
      </c>
      <c r="B23" s="2" t="s">
        <v>21</v>
      </c>
      <c r="C23" s="2" t="s">
        <v>12</v>
      </c>
      <c r="D23" s="2" t="s">
        <v>44</v>
      </c>
      <c r="E23" s="2" t="str">
        <f t="shared" si="0"/>
        <v>MUJEZAPASERV</v>
      </c>
      <c r="F23" s="2" t="s">
        <v>93</v>
      </c>
      <c r="G23" s="2" t="s">
        <v>94</v>
      </c>
      <c r="H23" s="2">
        <v>81.040000000000006</v>
      </c>
      <c r="I23" s="28">
        <v>0.62890000000000001</v>
      </c>
      <c r="J23" s="2">
        <v>13</v>
      </c>
    </row>
    <row r="24" spans="1:10" x14ac:dyDescent="0.25">
      <c r="A24" s="2">
        <v>13</v>
      </c>
      <c r="B24" s="2" t="s">
        <v>21</v>
      </c>
      <c r="C24" s="2" t="s">
        <v>28</v>
      </c>
      <c r="D24" s="2" t="s">
        <v>29</v>
      </c>
      <c r="E24" s="2" t="str">
        <f t="shared" si="0"/>
        <v>MUJEAQUANA</v>
      </c>
      <c r="F24" s="2" t="s">
        <v>95</v>
      </c>
      <c r="G24" s="2" t="s">
        <v>96</v>
      </c>
      <c r="H24" s="2">
        <v>88.4</v>
      </c>
      <c r="I24" s="28">
        <v>0.45229999999999998</v>
      </c>
      <c r="J24" s="2">
        <v>26</v>
      </c>
    </row>
    <row r="25" spans="1:10" x14ac:dyDescent="0.25">
      <c r="A25" s="2">
        <v>24</v>
      </c>
      <c r="B25" s="2" t="s">
        <v>21</v>
      </c>
      <c r="C25" s="2" t="s">
        <v>27</v>
      </c>
      <c r="D25" s="2" t="s">
        <v>40</v>
      </c>
      <c r="E25" s="2" t="str">
        <f t="shared" si="0"/>
        <v>MUJESANDPLAY</v>
      </c>
      <c r="F25" s="2" t="s">
        <v>97</v>
      </c>
      <c r="G25" s="2" t="s">
        <v>98</v>
      </c>
      <c r="H25" s="2">
        <v>93.97</v>
      </c>
      <c r="I25" s="28">
        <v>0.82520000000000004</v>
      </c>
      <c r="J25" s="2">
        <v>33</v>
      </c>
    </row>
    <row r="26" spans="1:10" x14ac:dyDescent="0.25">
      <c r="A26" s="2">
        <v>26</v>
      </c>
      <c r="B26" s="2" t="s">
        <v>21</v>
      </c>
      <c r="C26" s="2" t="s">
        <v>12</v>
      </c>
      <c r="D26" s="2" t="s">
        <v>31</v>
      </c>
      <c r="E26" s="2" t="str">
        <f t="shared" si="0"/>
        <v>MUJEZAPADEPO</v>
      </c>
      <c r="F26" s="2" t="s">
        <v>99</v>
      </c>
      <c r="G26" s="2" t="s">
        <v>100</v>
      </c>
      <c r="H26" s="2">
        <v>99.2</v>
      </c>
      <c r="I26" s="28">
        <v>0.65410000000000001</v>
      </c>
      <c r="J26" s="2">
        <v>45</v>
      </c>
    </row>
    <row r="27" spans="1:10" x14ac:dyDescent="0.25">
      <c r="A27" s="2">
        <v>55</v>
      </c>
      <c r="B27" s="2" t="s">
        <v>25</v>
      </c>
      <c r="C27" s="2" t="s">
        <v>20</v>
      </c>
      <c r="D27" s="2" t="s">
        <v>15</v>
      </c>
      <c r="E27" s="2" t="str">
        <f t="shared" si="0"/>
        <v>NIÑUZATOCASU</v>
      </c>
      <c r="F27" s="2" t="s">
        <v>101</v>
      </c>
      <c r="G27" s="2" t="s">
        <v>102</v>
      </c>
      <c r="H27" s="2">
        <v>102.57</v>
      </c>
      <c r="I27" s="28">
        <v>0.48830000000000001</v>
      </c>
      <c r="J27" s="2">
        <v>22</v>
      </c>
    </row>
    <row r="28" spans="1:10" x14ac:dyDescent="0.25">
      <c r="A28" s="2">
        <v>37</v>
      </c>
      <c r="B28" s="2" t="s">
        <v>16</v>
      </c>
      <c r="C28" s="2" t="s">
        <v>12</v>
      </c>
      <c r="D28" s="2" t="s">
        <v>31</v>
      </c>
      <c r="E28" s="2" t="str">
        <f t="shared" si="0"/>
        <v>NIÑHZAPADEPO</v>
      </c>
      <c r="F28" s="2" t="s">
        <v>103</v>
      </c>
      <c r="G28" s="2" t="s">
        <v>104</v>
      </c>
      <c r="H28" s="2">
        <v>112.49</v>
      </c>
      <c r="I28" s="28">
        <v>0.79630000000000001</v>
      </c>
      <c r="J28" s="2">
        <v>34</v>
      </c>
    </row>
    <row r="29" spans="1:10" x14ac:dyDescent="0.25">
      <c r="A29" s="2">
        <v>38</v>
      </c>
      <c r="B29" s="2" t="s">
        <v>16</v>
      </c>
      <c r="C29" s="2" t="s">
        <v>12</v>
      </c>
      <c r="D29" s="2" t="s">
        <v>23</v>
      </c>
      <c r="E29" s="2" t="str">
        <f t="shared" si="0"/>
        <v>NIÑHZAPAOUTD</v>
      </c>
      <c r="F29" s="2" t="s">
        <v>105</v>
      </c>
      <c r="G29" s="2" t="s">
        <v>106</v>
      </c>
      <c r="H29" s="2">
        <v>115.02</v>
      </c>
      <c r="I29" s="28">
        <v>0.25890000000000002</v>
      </c>
      <c r="J29" s="2">
        <v>30</v>
      </c>
    </row>
    <row r="30" spans="1:10" x14ac:dyDescent="0.25">
      <c r="A30" s="2">
        <v>6</v>
      </c>
      <c r="B30" s="2" t="s">
        <v>9</v>
      </c>
      <c r="C30" s="2" t="s">
        <v>27</v>
      </c>
      <c r="D30" s="2" t="s">
        <v>40</v>
      </c>
      <c r="E30" s="2" t="str">
        <f t="shared" si="0"/>
        <v>HOMBSANDPLAY</v>
      </c>
      <c r="F30" s="2" t="s">
        <v>107</v>
      </c>
      <c r="G30" s="2" t="s">
        <v>108</v>
      </c>
      <c r="H30" s="2">
        <v>115.25</v>
      </c>
      <c r="I30" s="28">
        <v>0.85350000000000004</v>
      </c>
      <c r="J30" s="2">
        <v>39</v>
      </c>
    </row>
    <row r="31" spans="1:10" x14ac:dyDescent="0.25">
      <c r="A31" s="2">
        <v>0</v>
      </c>
      <c r="B31" s="2" t="s">
        <v>9</v>
      </c>
      <c r="C31" s="2" t="s">
        <v>17</v>
      </c>
      <c r="D31" s="2" t="s">
        <v>32</v>
      </c>
      <c r="E31" s="2" t="str">
        <f t="shared" si="0"/>
        <v>HOMBBOAGBASI</v>
      </c>
      <c r="F31" s="2" t="s">
        <v>109</v>
      </c>
      <c r="G31" s="2" t="s">
        <v>110</v>
      </c>
      <c r="H31" s="2">
        <v>119.93</v>
      </c>
      <c r="I31" s="28">
        <v>0.42980000000000002</v>
      </c>
      <c r="J31" s="2">
        <v>23</v>
      </c>
    </row>
    <row r="32" spans="1:10" x14ac:dyDescent="0.25">
      <c r="A32" s="2">
        <v>1</v>
      </c>
      <c r="B32" s="2" t="s">
        <v>9</v>
      </c>
      <c r="C32" s="2" t="s">
        <v>10</v>
      </c>
      <c r="D32" s="2" t="s">
        <v>15</v>
      </c>
      <c r="E32" s="2" t="str">
        <f t="shared" si="0"/>
        <v>HOMBBOTICASU</v>
      </c>
      <c r="F32" s="2" t="s">
        <v>111</v>
      </c>
      <c r="G32" s="2" t="s">
        <v>112</v>
      </c>
      <c r="H32" s="2">
        <v>126.04</v>
      </c>
      <c r="I32" s="28">
        <v>0.90400000000000003</v>
      </c>
      <c r="J32" s="2">
        <v>43</v>
      </c>
    </row>
    <row r="33" spans="1:10" x14ac:dyDescent="0.25">
      <c r="A33" s="2">
        <v>52</v>
      </c>
      <c r="B33" s="2" t="s">
        <v>25</v>
      </c>
      <c r="C33" s="2" t="s">
        <v>12</v>
      </c>
      <c r="D33" s="2" t="s">
        <v>31</v>
      </c>
      <c r="E33" s="2" t="str">
        <f t="shared" si="0"/>
        <v>NIÑUZAPADEPO</v>
      </c>
      <c r="F33" s="2" t="s">
        <v>113</v>
      </c>
      <c r="G33" s="2" t="s">
        <v>114</v>
      </c>
      <c r="H33" s="2">
        <v>128.09</v>
      </c>
      <c r="I33" s="28">
        <v>0.4415</v>
      </c>
      <c r="J33" s="2">
        <v>44</v>
      </c>
    </row>
    <row r="34" spans="1:10" x14ac:dyDescent="0.25">
      <c r="A34" s="2">
        <v>3</v>
      </c>
      <c r="B34" s="2" t="s">
        <v>9</v>
      </c>
      <c r="C34" s="2" t="s">
        <v>10</v>
      </c>
      <c r="D34" s="2" t="s">
        <v>11</v>
      </c>
      <c r="E34" s="2" t="str">
        <f t="shared" si="0"/>
        <v>HOMBBOTIVEST</v>
      </c>
      <c r="F34" s="2" t="s">
        <v>115</v>
      </c>
      <c r="G34" s="2" t="s">
        <v>116</v>
      </c>
      <c r="H34" s="2">
        <v>134.84</v>
      </c>
      <c r="I34" s="28">
        <v>0.85450000000000004</v>
      </c>
      <c r="J34" s="2">
        <v>19</v>
      </c>
    </row>
    <row r="35" spans="1:10" x14ac:dyDescent="0.25">
      <c r="A35" s="2">
        <v>49</v>
      </c>
      <c r="B35" s="2" t="s">
        <v>25</v>
      </c>
      <c r="C35" s="2" t="s">
        <v>28</v>
      </c>
      <c r="D35" s="2" t="s">
        <v>29</v>
      </c>
      <c r="E35" s="2" t="str">
        <f t="shared" si="0"/>
        <v>NIÑUAQUANA</v>
      </c>
      <c r="F35" s="2" t="s">
        <v>117</v>
      </c>
      <c r="G35" s="2" t="s">
        <v>118</v>
      </c>
      <c r="H35" s="2">
        <v>141.77000000000001</v>
      </c>
      <c r="I35" s="28">
        <v>0.74490000000000001</v>
      </c>
      <c r="J35" s="2">
        <v>22</v>
      </c>
    </row>
    <row r="36" spans="1:10" x14ac:dyDescent="0.25">
      <c r="A36" s="2">
        <v>48</v>
      </c>
      <c r="B36" s="2" t="s">
        <v>14</v>
      </c>
      <c r="C36" s="2" t="s">
        <v>20</v>
      </c>
      <c r="D36" s="2" t="s">
        <v>11</v>
      </c>
      <c r="E36" s="2" t="str">
        <f t="shared" si="0"/>
        <v>NIÑMZATOVEST</v>
      </c>
      <c r="F36" s="2" t="s">
        <v>119</v>
      </c>
      <c r="G36" s="2" t="s">
        <v>120</v>
      </c>
      <c r="H36" s="2">
        <v>141.80000000000001</v>
      </c>
      <c r="I36" s="28">
        <v>0.74439999999999995</v>
      </c>
      <c r="J36" s="2">
        <v>41</v>
      </c>
    </row>
    <row r="37" spans="1:10" x14ac:dyDescent="0.25">
      <c r="A37" s="2">
        <v>5</v>
      </c>
      <c r="B37" s="2" t="s">
        <v>9</v>
      </c>
      <c r="C37" s="2" t="s">
        <v>27</v>
      </c>
      <c r="D37" s="2" t="s">
        <v>23</v>
      </c>
      <c r="E37" s="2" t="str">
        <f t="shared" si="0"/>
        <v>HOMBSANDOUTD</v>
      </c>
      <c r="F37" s="2" t="s">
        <v>121</v>
      </c>
      <c r="G37" s="2" t="s">
        <v>122</v>
      </c>
      <c r="H37" s="2">
        <v>145.9</v>
      </c>
      <c r="I37" s="28">
        <v>0.48399999999999999</v>
      </c>
      <c r="J37" s="2">
        <v>28</v>
      </c>
    </row>
    <row r="38" spans="1:10" x14ac:dyDescent="0.25">
      <c r="A38" s="2">
        <v>27</v>
      </c>
      <c r="B38" s="2" t="s">
        <v>21</v>
      </c>
      <c r="C38" s="2" t="s">
        <v>12</v>
      </c>
      <c r="D38" s="2" t="s">
        <v>23</v>
      </c>
      <c r="E38" s="2" t="str">
        <f t="shared" si="0"/>
        <v>MUJEZAPAOUTD</v>
      </c>
      <c r="F38" s="2" t="s">
        <v>123</v>
      </c>
      <c r="G38" s="2" t="s">
        <v>124</v>
      </c>
      <c r="H38" s="2">
        <v>150.52000000000001</v>
      </c>
      <c r="I38" s="28">
        <v>0.51539999999999997</v>
      </c>
      <c r="J38" s="2">
        <v>45</v>
      </c>
    </row>
    <row r="39" spans="1:10" x14ac:dyDescent="0.25">
      <c r="A39" s="2">
        <v>8</v>
      </c>
      <c r="B39" s="2" t="s">
        <v>9</v>
      </c>
      <c r="C39" s="2" t="s">
        <v>12</v>
      </c>
      <c r="D39" s="2" t="s">
        <v>34</v>
      </c>
      <c r="E39" s="2" t="str">
        <f t="shared" si="0"/>
        <v>HOMBZAPAFUTB</v>
      </c>
      <c r="F39" s="2" t="s">
        <v>125</v>
      </c>
      <c r="G39" s="2" t="s">
        <v>126</v>
      </c>
      <c r="H39" s="2">
        <v>151.44999999999999</v>
      </c>
      <c r="I39" s="28">
        <v>0.74219999999999997</v>
      </c>
      <c r="J39" s="2">
        <v>41</v>
      </c>
    </row>
    <row r="40" spans="1:10" x14ac:dyDescent="0.25">
      <c r="A40" s="2">
        <v>10</v>
      </c>
      <c r="B40" s="2" t="s">
        <v>9</v>
      </c>
      <c r="C40" s="2" t="s">
        <v>12</v>
      </c>
      <c r="D40" s="2" t="s">
        <v>13</v>
      </c>
      <c r="E40" s="2" t="str">
        <f t="shared" si="0"/>
        <v>HOMBZAPAURBA</v>
      </c>
      <c r="F40" s="2" t="s">
        <v>127</v>
      </c>
      <c r="G40" s="2" t="s">
        <v>128</v>
      </c>
      <c r="H40" s="2">
        <v>155.06</v>
      </c>
      <c r="I40" s="28">
        <v>0.76290000000000002</v>
      </c>
      <c r="J40" s="2">
        <v>45</v>
      </c>
    </row>
    <row r="41" spans="1:10" x14ac:dyDescent="0.25">
      <c r="A41" s="2">
        <v>34</v>
      </c>
      <c r="B41" s="2" t="s">
        <v>16</v>
      </c>
      <c r="C41" s="2" t="s">
        <v>10</v>
      </c>
      <c r="D41" s="2" t="s">
        <v>15</v>
      </c>
      <c r="E41" s="2" t="str">
        <f t="shared" si="0"/>
        <v>NIÑHBOTICASU</v>
      </c>
      <c r="F41" s="2" t="s">
        <v>129</v>
      </c>
      <c r="G41" s="2" t="s">
        <v>130</v>
      </c>
      <c r="H41" s="2">
        <v>157.82</v>
      </c>
      <c r="I41" s="28">
        <v>0.2429</v>
      </c>
      <c r="J41" s="2">
        <v>23</v>
      </c>
    </row>
    <row r="42" spans="1:10" x14ac:dyDescent="0.25">
      <c r="A42" s="2">
        <v>51</v>
      </c>
      <c r="B42" s="2" t="s">
        <v>25</v>
      </c>
      <c r="C42" s="2" t="s">
        <v>27</v>
      </c>
      <c r="D42" s="2" t="s">
        <v>15</v>
      </c>
      <c r="E42" s="2" t="str">
        <f t="shared" si="0"/>
        <v>NIÑUSANDCASU</v>
      </c>
      <c r="F42" s="2" t="s">
        <v>131</v>
      </c>
      <c r="G42" s="2" t="s">
        <v>132</v>
      </c>
      <c r="H42" s="2">
        <v>177.36</v>
      </c>
      <c r="I42" s="28">
        <v>0.6623</v>
      </c>
      <c r="J42" s="2">
        <v>20</v>
      </c>
    </row>
    <row r="43" spans="1:10" x14ac:dyDescent="0.25">
      <c r="A43" s="2">
        <v>32</v>
      </c>
      <c r="B43" s="2" t="s">
        <v>21</v>
      </c>
      <c r="C43" s="2" t="s">
        <v>20</v>
      </c>
      <c r="D43" s="2" t="s">
        <v>11</v>
      </c>
      <c r="E43" s="2" t="str">
        <f t="shared" si="0"/>
        <v>MUJEZATOVEST</v>
      </c>
      <c r="F43" s="2" t="s">
        <v>133</v>
      </c>
      <c r="G43" s="2" t="s">
        <v>134</v>
      </c>
      <c r="H43" s="2">
        <v>177.55</v>
      </c>
      <c r="I43" s="28">
        <v>0.90890000000000004</v>
      </c>
      <c r="J43" s="2">
        <v>45</v>
      </c>
    </row>
    <row r="44" spans="1:10" x14ac:dyDescent="0.25">
      <c r="A44" s="2">
        <v>56</v>
      </c>
      <c r="B44" s="2" t="s">
        <v>35</v>
      </c>
      <c r="C44" s="2" t="s">
        <v>12</v>
      </c>
      <c r="D44" s="2" t="s">
        <v>13</v>
      </c>
      <c r="E44" s="2" t="str">
        <f t="shared" si="0"/>
        <v>UNIXZAPAURBA</v>
      </c>
      <c r="F44" s="2" t="s">
        <v>135</v>
      </c>
      <c r="G44" s="2" t="s">
        <v>136</v>
      </c>
      <c r="H44" s="2">
        <v>177.75</v>
      </c>
      <c r="I44" s="28">
        <v>0.63009999999999999</v>
      </c>
      <c r="J44" s="2">
        <v>41</v>
      </c>
    </row>
    <row r="45" spans="1:10" x14ac:dyDescent="0.25">
      <c r="A45" s="2">
        <v>41</v>
      </c>
      <c r="B45" s="2" t="s">
        <v>14</v>
      </c>
      <c r="C45" s="2" t="s">
        <v>17</v>
      </c>
      <c r="D45" s="2" t="s">
        <v>32</v>
      </c>
      <c r="E45" s="2" t="str">
        <f t="shared" si="0"/>
        <v>NIÑMBOAGBASI</v>
      </c>
      <c r="F45" s="2" t="s">
        <v>137</v>
      </c>
      <c r="G45" s="2" t="s">
        <v>138</v>
      </c>
      <c r="H45" s="2">
        <v>188.71</v>
      </c>
      <c r="I45" s="28">
        <v>0.68879999999999997</v>
      </c>
      <c r="J45" s="2">
        <v>17</v>
      </c>
    </row>
    <row r="46" spans="1:10" x14ac:dyDescent="0.25">
      <c r="A46" s="2">
        <v>14</v>
      </c>
      <c r="B46" s="2" t="s">
        <v>21</v>
      </c>
      <c r="C46" s="2" t="s">
        <v>17</v>
      </c>
      <c r="D46" s="2" t="s">
        <v>32</v>
      </c>
      <c r="E46" s="2" t="str">
        <f t="shared" si="0"/>
        <v>MUJEBOAGBASI</v>
      </c>
      <c r="F46" s="2" t="s">
        <v>139</v>
      </c>
      <c r="G46" s="2" t="s">
        <v>140</v>
      </c>
      <c r="H46" s="2">
        <v>204.41</v>
      </c>
      <c r="I46" s="28">
        <v>0.6764</v>
      </c>
      <c r="J46" s="2">
        <v>33</v>
      </c>
    </row>
    <row r="47" spans="1:10" x14ac:dyDescent="0.25">
      <c r="A47" s="2">
        <v>7</v>
      </c>
      <c r="B47" s="2" t="s">
        <v>9</v>
      </c>
      <c r="C47" s="2" t="s">
        <v>12</v>
      </c>
      <c r="D47" s="2" t="s">
        <v>31</v>
      </c>
      <c r="E47" s="2" t="str">
        <f t="shared" si="0"/>
        <v>HOMBZAPADEPO</v>
      </c>
      <c r="F47" s="2" t="s">
        <v>141</v>
      </c>
      <c r="G47" s="2" t="s">
        <v>142</v>
      </c>
      <c r="H47" s="2">
        <v>233.13</v>
      </c>
      <c r="I47" s="28">
        <v>0.48359999999999997</v>
      </c>
      <c r="J47" s="2">
        <v>40</v>
      </c>
    </row>
    <row r="48" spans="1:10" x14ac:dyDescent="0.25">
      <c r="A48" s="2">
        <v>46</v>
      </c>
      <c r="B48" s="2" t="s">
        <v>14</v>
      </c>
      <c r="C48" s="2" t="s">
        <v>12</v>
      </c>
      <c r="D48" s="2" t="s">
        <v>31</v>
      </c>
      <c r="E48" s="2" t="str">
        <f t="shared" si="0"/>
        <v>NIÑMZAPADEPO</v>
      </c>
      <c r="F48" s="2" t="s">
        <v>143</v>
      </c>
      <c r="G48" s="2" t="s">
        <v>144</v>
      </c>
      <c r="H48" s="2">
        <v>239.37</v>
      </c>
      <c r="I48" s="28">
        <v>0.26640000000000003</v>
      </c>
      <c r="J48" s="2">
        <v>31</v>
      </c>
    </row>
    <row r="49" spans="1:10" x14ac:dyDescent="0.25">
      <c r="A49" s="2">
        <v>54</v>
      </c>
      <c r="B49" s="2" t="s">
        <v>25</v>
      </c>
      <c r="C49" s="2" t="s">
        <v>12</v>
      </c>
      <c r="D49" s="2" t="s">
        <v>13</v>
      </c>
      <c r="E49" s="2" t="str">
        <f t="shared" si="0"/>
        <v>NIÑUZAPAURBA</v>
      </c>
      <c r="F49" s="2" t="s">
        <v>145</v>
      </c>
      <c r="G49" s="2" t="s">
        <v>146</v>
      </c>
      <c r="H49" s="2">
        <v>241.76</v>
      </c>
      <c r="I49" s="28">
        <v>0.37140000000000001</v>
      </c>
      <c r="J49" s="2">
        <v>36</v>
      </c>
    </row>
    <row r="50" spans="1:10" x14ac:dyDescent="0.25">
      <c r="A50" s="2">
        <v>50</v>
      </c>
      <c r="B50" s="2" t="s">
        <v>25</v>
      </c>
      <c r="C50" s="2" t="s">
        <v>10</v>
      </c>
      <c r="D50" s="2" t="s">
        <v>15</v>
      </c>
      <c r="E50" s="2" t="str">
        <f t="shared" si="0"/>
        <v>NIÑUBOTICASU</v>
      </c>
      <c r="F50" s="2" t="s">
        <v>147</v>
      </c>
      <c r="G50" s="2" t="s">
        <v>148</v>
      </c>
      <c r="H50" s="2">
        <v>245.53</v>
      </c>
      <c r="I50" s="28">
        <v>0.44319999999999998</v>
      </c>
      <c r="J50" s="2">
        <v>32</v>
      </c>
    </row>
    <row r="51" spans="1:10" x14ac:dyDescent="0.25">
      <c r="A51" s="2">
        <v>33</v>
      </c>
      <c r="B51" s="2" t="s">
        <v>16</v>
      </c>
      <c r="C51" s="2" t="s">
        <v>17</v>
      </c>
      <c r="D51" s="2" t="s">
        <v>18</v>
      </c>
      <c r="E51" s="2" t="str">
        <f t="shared" si="0"/>
        <v>NIÑHBOAGDISE</v>
      </c>
      <c r="F51" s="2" t="s">
        <v>149</v>
      </c>
      <c r="G51" s="2" t="s">
        <v>150</v>
      </c>
      <c r="H51" s="2">
        <v>255.75</v>
      </c>
      <c r="I51" s="28">
        <v>0.85609999999999997</v>
      </c>
      <c r="J51" s="2">
        <v>17</v>
      </c>
    </row>
    <row r="52" spans="1:10" x14ac:dyDescent="0.25">
      <c r="A52" s="2">
        <v>18</v>
      </c>
      <c r="B52" s="2" t="s">
        <v>21</v>
      </c>
      <c r="C52" s="2" t="s">
        <v>10</v>
      </c>
      <c r="D52" s="2" t="s">
        <v>11</v>
      </c>
      <c r="E52" s="2" t="str">
        <f t="shared" si="0"/>
        <v>MUJEBOTIVEST</v>
      </c>
      <c r="F52" s="2" t="s">
        <v>151</v>
      </c>
      <c r="G52" s="2" t="s">
        <v>152</v>
      </c>
      <c r="H52" s="2">
        <v>265.27999999999997</v>
      </c>
      <c r="I52" s="28">
        <v>0.31309999999999999</v>
      </c>
      <c r="J52" s="2">
        <v>26</v>
      </c>
    </row>
    <row r="53" spans="1:10" x14ac:dyDescent="0.25">
      <c r="A53" s="2">
        <v>42</v>
      </c>
      <c r="B53" s="2" t="s">
        <v>14</v>
      </c>
      <c r="C53" s="2" t="s">
        <v>17</v>
      </c>
      <c r="D53" s="2" t="s">
        <v>18</v>
      </c>
      <c r="E53" s="2" t="str">
        <f t="shared" si="0"/>
        <v>NIÑMBOAGDISE</v>
      </c>
      <c r="F53" s="2" t="s">
        <v>153</v>
      </c>
      <c r="G53" s="2" t="s">
        <v>154</v>
      </c>
      <c r="H53" s="2">
        <v>319.60000000000002</v>
      </c>
      <c r="I53" s="28">
        <v>0.27789999999999998</v>
      </c>
      <c r="J53" s="2">
        <v>24</v>
      </c>
    </row>
    <row r="54" spans="1:10" x14ac:dyDescent="0.25">
      <c r="A54" s="2">
        <v>39</v>
      </c>
      <c r="B54" s="2" t="s">
        <v>16</v>
      </c>
      <c r="C54" s="2" t="s">
        <v>12</v>
      </c>
      <c r="D54" s="2" t="s">
        <v>13</v>
      </c>
      <c r="E54" s="2" t="str">
        <f t="shared" si="0"/>
        <v>NIÑHZAPAURBA</v>
      </c>
      <c r="F54" s="2" t="s">
        <v>155</v>
      </c>
      <c r="G54" s="2" t="s">
        <v>156</v>
      </c>
      <c r="H54" s="2">
        <v>322.7</v>
      </c>
      <c r="I54" s="28">
        <v>0.4471</v>
      </c>
      <c r="J54" s="2">
        <v>45</v>
      </c>
    </row>
    <row r="55" spans="1:10" x14ac:dyDescent="0.25">
      <c r="A55" s="2">
        <v>25</v>
      </c>
      <c r="B55" s="2" t="s">
        <v>21</v>
      </c>
      <c r="C55" s="2" t="s">
        <v>27</v>
      </c>
      <c r="D55" s="2" t="s">
        <v>11</v>
      </c>
      <c r="E55" s="2" t="str">
        <f t="shared" si="0"/>
        <v>MUJESANDVEST</v>
      </c>
      <c r="F55" s="2" t="s">
        <v>157</v>
      </c>
      <c r="G55" s="2" t="s">
        <v>158</v>
      </c>
      <c r="H55" s="2">
        <v>377.67</v>
      </c>
      <c r="I55" s="28">
        <v>0.56520000000000004</v>
      </c>
      <c r="J55" s="2">
        <v>21</v>
      </c>
    </row>
    <row r="56" spans="1:10" x14ac:dyDescent="0.25">
      <c r="A56" s="2">
        <v>40</v>
      </c>
      <c r="B56" s="2" t="s">
        <v>16</v>
      </c>
      <c r="C56" s="2" t="s">
        <v>20</v>
      </c>
      <c r="D56" s="2" t="s">
        <v>11</v>
      </c>
      <c r="E56" s="2" t="str">
        <f t="shared" si="0"/>
        <v>NIÑHZATOVEST</v>
      </c>
      <c r="F56" s="2" t="s">
        <v>159</v>
      </c>
      <c r="G56" s="2" t="s">
        <v>160</v>
      </c>
      <c r="H56" s="2">
        <v>503.88</v>
      </c>
      <c r="I56" s="28">
        <v>8.2000000000000003E-2</v>
      </c>
      <c r="J56" s="2">
        <v>10</v>
      </c>
    </row>
    <row r="57" spans="1:10" x14ac:dyDescent="0.25">
      <c r="A57" s="2">
        <v>22</v>
      </c>
      <c r="B57" s="2" t="s">
        <v>21</v>
      </c>
      <c r="C57" s="2" t="s">
        <v>27</v>
      </c>
      <c r="D57" s="2" t="s">
        <v>15</v>
      </c>
      <c r="E57" s="2" t="str">
        <f t="shared" si="0"/>
        <v>MUJESANDCASU</v>
      </c>
      <c r="F57" s="2" t="s">
        <v>161</v>
      </c>
      <c r="G57" s="2" t="s">
        <v>162</v>
      </c>
      <c r="H57" s="2">
        <v>908.01</v>
      </c>
      <c r="I57" s="28">
        <v>0.63449999999999995</v>
      </c>
      <c r="J57" s="2">
        <v>43</v>
      </c>
    </row>
    <row r="58" spans="1:10" x14ac:dyDescent="0.25">
      <c r="A58" s="2">
        <v>35</v>
      </c>
      <c r="B58" s="2" t="s">
        <v>16</v>
      </c>
      <c r="C58" s="2" t="s">
        <v>10</v>
      </c>
      <c r="D58" s="2" t="s">
        <v>11</v>
      </c>
      <c r="E58" s="2" t="str">
        <f t="shared" si="0"/>
        <v>NIÑHBOTIVEST</v>
      </c>
      <c r="F58" s="2" t="s">
        <v>163</v>
      </c>
      <c r="G58" s="2" t="s">
        <v>164</v>
      </c>
      <c r="H58" s="2">
        <v>949.33</v>
      </c>
      <c r="I58" s="28">
        <v>0.30759999999999998</v>
      </c>
      <c r="J58" s="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Comparativos</vt:lpstr>
      <vt:lpstr>Metricas modelo XGBoost</vt:lpstr>
      <vt:lpstr>Metricas SVR</vt:lpstr>
      <vt:lpstr>Metricas Modelo Random Forest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community passer</dc:creator>
  <cp:lastModifiedBy>community passer</cp:lastModifiedBy>
  <dcterms:created xsi:type="dcterms:W3CDTF">2025-12-04T18:18:57Z</dcterms:created>
  <dcterms:modified xsi:type="dcterms:W3CDTF">2025-12-04T20:11:52Z</dcterms:modified>
</cp:coreProperties>
</file>