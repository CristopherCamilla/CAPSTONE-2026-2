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OPHER\Dropbox\Pesonal\DUOC\8bo semestre\CAPSTONE\CAPSTONE-2026-2\Fase 2\Evidencias Proyecto\"/>
    </mc:Choice>
  </mc:AlternateContent>
  <xr:revisionPtr revIDLastSave="0" documentId="13_ncr:1_{1DB30AAC-F466-49D2-8953-11F650290109}" xr6:coauthVersionLast="47" xr6:coauthVersionMax="47" xr10:uidLastSave="{00000000-0000-0000-0000-000000000000}"/>
  <bookViews>
    <workbookView xWindow="-120" yWindow="-120" windowWidth="29040" windowHeight="15840" xr2:uid="{ADE3DE36-B671-43A2-82DD-D4D4B061C073}"/>
  </bookViews>
  <sheets>
    <sheet name="resumen" sheetId="2" r:id="rId1"/>
    <sheet name="verano2024" sheetId="4" r:id="rId2"/>
    <sheet name="verano2025" sheetId="1" r:id="rId3"/>
    <sheet name="invierno2025" sheetId="3" r:id="rId4"/>
  </sheets>
  <definedNames>
    <definedName name="_xlnm._FilterDatabase" localSheetId="3" hidden="1">invierno2025!$C$1:$C$1047336</definedName>
    <definedName name="_xlnm._FilterDatabase" localSheetId="1" hidden="1">verano2024!$C$1:$C$159</definedName>
    <definedName name="_xlnm._FilterDatabase" localSheetId="2" hidden="1">verano2025!$C$1:$C$165</definedName>
  </definedNames>
  <calcPr calcId="191029"/>
  <pivotCaches>
    <pivotCache cacheId="134" r:id="rId5"/>
    <pivotCache cacheId="135" r:id="rId6"/>
    <pivotCache cacheId="13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4" l="1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3" i="4"/>
  <c r="H6" i="2"/>
  <c r="H7" i="2" s="1"/>
  <c r="I6" i="2"/>
  <c r="I7" i="2"/>
  <c r="G133" i="3" l="1"/>
  <c r="C16" i="2"/>
  <c r="C17" i="2" s="1"/>
  <c r="D16" i="2"/>
  <c r="D17" i="2" s="1"/>
  <c r="D6" i="2"/>
  <c r="D7" i="2" s="1"/>
  <c r="C6" i="2"/>
  <c r="C7" i="2" s="1"/>
</calcChain>
</file>

<file path=xl/sharedStrings.xml><?xml version="1.0" encoding="utf-8"?>
<sst xmlns="http://schemas.openxmlformats.org/spreadsheetml/2006/main" count="1722" uniqueCount="595">
  <si>
    <t>Stock</t>
  </si>
  <si>
    <t>Compra</t>
  </si>
  <si>
    <t>COMPRA</t>
  </si>
  <si>
    <t>STOCK</t>
  </si>
  <si>
    <t>PEDIDOS</t>
  </si>
  <si>
    <t>FACTURACION</t>
  </si>
  <si>
    <t>INVENTARIO</t>
  </si>
  <si>
    <t>ART</t>
  </si>
  <si>
    <t>COLOR</t>
  </si>
  <si>
    <t>COD COMPLETO</t>
  </si>
  <si>
    <t>CURVA</t>
  </si>
  <si>
    <t>INVENADARIO</t>
  </si>
  <si>
    <t>01</t>
  </si>
  <si>
    <t>2018011ra</t>
  </si>
  <si>
    <t>1ra</t>
  </si>
  <si>
    <t>2018012da</t>
  </si>
  <si>
    <t>2da</t>
  </si>
  <si>
    <t>02</t>
  </si>
  <si>
    <t>2018021ra</t>
  </si>
  <si>
    <t>2018022da</t>
  </si>
  <si>
    <t>2034021ra</t>
  </si>
  <si>
    <t>2034022da</t>
  </si>
  <si>
    <t>21</t>
  </si>
  <si>
    <t>2034211ra</t>
  </si>
  <si>
    <t>2034212da</t>
  </si>
  <si>
    <t>2508011ra</t>
  </si>
  <si>
    <t>09</t>
  </si>
  <si>
    <t>2508091ra</t>
  </si>
  <si>
    <t>2594011ra</t>
  </si>
  <si>
    <t>2594012da</t>
  </si>
  <si>
    <t>2594091ra</t>
  </si>
  <si>
    <t>2594092da</t>
  </si>
  <si>
    <t>2595011ra</t>
  </si>
  <si>
    <t>2595091ra</t>
  </si>
  <si>
    <t>05</t>
  </si>
  <si>
    <t>2610051ra</t>
  </si>
  <si>
    <t>2610052da</t>
  </si>
  <si>
    <t>08</t>
  </si>
  <si>
    <t>2610081ra</t>
  </si>
  <si>
    <t>2610082da</t>
  </si>
  <si>
    <t>2611051ra</t>
  </si>
  <si>
    <t>2916051ra</t>
  </si>
  <si>
    <t>2916052da</t>
  </si>
  <si>
    <t>50</t>
  </si>
  <si>
    <t>2916501ra</t>
  </si>
  <si>
    <t>2916502da</t>
  </si>
  <si>
    <t>2917011ra</t>
  </si>
  <si>
    <t>2917021ra</t>
  </si>
  <si>
    <t>11</t>
  </si>
  <si>
    <t>2917111ra</t>
  </si>
  <si>
    <t>2922021ra</t>
  </si>
  <si>
    <t>2922051ra</t>
  </si>
  <si>
    <t>15</t>
  </si>
  <si>
    <t>2922151ra</t>
  </si>
  <si>
    <t>2939021ra</t>
  </si>
  <si>
    <t>2939051ra</t>
  </si>
  <si>
    <t>3018021ra</t>
  </si>
  <si>
    <t>23</t>
  </si>
  <si>
    <t>3018231ra</t>
  </si>
  <si>
    <t>3025021ra</t>
  </si>
  <si>
    <t>20</t>
  </si>
  <si>
    <t>3025201ra</t>
  </si>
  <si>
    <t>22</t>
  </si>
  <si>
    <t>3025221ra</t>
  </si>
  <si>
    <t>3040021ra</t>
  </si>
  <si>
    <t>3040211ra</t>
  </si>
  <si>
    <t>3040231ra</t>
  </si>
  <si>
    <t>3044011ra</t>
  </si>
  <si>
    <t>3044021ra</t>
  </si>
  <si>
    <t>3044091ra</t>
  </si>
  <si>
    <t>3044151ra</t>
  </si>
  <si>
    <t>3112021ra</t>
  </si>
  <si>
    <t>3112211ra</t>
  </si>
  <si>
    <t>3112231ra</t>
  </si>
  <si>
    <t>3113021ra</t>
  </si>
  <si>
    <t>06</t>
  </si>
  <si>
    <t>3113061ra</t>
  </si>
  <si>
    <t>3133011ra</t>
  </si>
  <si>
    <t>3140021ra</t>
  </si>
  <si>
    <t>3140211ra</t>
  </si>
  <si>
    <t>3140231ra</t>
  </si>
  <si>
    <t>3141021ra</t>
  </si>
  <si>
    <t>3141211ra</t>
  </si>
  <si>
    <t>3141231ra</t>
  </si>
  <si>
    <t>3144021ra</t>
  </si>
  <si>
    <t>3144211ra</t>
  </si>
  <si>
    <t>3144231ra</t>
  </si>
  <si>
    <t>3146011ra</t>
  </si>
  <si>
    <t>3146021ra</t>
  </si>
  <si>
    <t>3146211ra</t>
  </si>
  <si>
    <t>3147021ra</t>
  </si>
  <si>
    <t>03</t>
  </si>
  <si>
    <t>3147031ra</t>
  </si>
  <si>
    <t>3154021ra</t>
  </si>
  <si>
    <t>3154081ra</t>
  </si>
  <si>
    <t>3203021ra</t>
  </si>
  <si>
    <t>04</t>
  </si>
  <si>
    <t>3203041ra</t>
  </si>
  <si>
    <t>3203061ra</t>
  </si>
  <si>
    <t>3209021ra</t>
  </si>
  <si>
    <t>3209051ra</t>
  </si>
  <si>
    <t>3500011ra</t>
  </si>
  <si>
    <t>3500021ra</t>
  </si>
  <si>
    <t>3500231ra</t>
  </si>
  <si>
    <t>3503011ra</t>
  </si>
  <si>
    <t>3503021ra</t>
  </si>
  <si>
    <t>3503231ra</t>
  </si>
  <si>
    <t>00</t>
  </si>
  <si>
    <t>3511001ra</t>
  </si>
  <si>
    <t>3511021ra</t>
  </si>
  <si>
    <t>3511051ra</t>
  </si>
  <si>
    <t>3513021ra</t>
  </si>
  <si>
    <t>3513111ra</t>
  </si>
  <si>
    <t>3514021ra</t>
  </si>
  <si>
    <t>3514211ra</t>
  </si>
  <si>
    <t>3514231ra</t>
  </si>
  <si>
    <t>3517021ra</t>
  </si>
  <si>
    <t>13</t>
  </si>
  <si>
    <t>3517131ra</t>
  </si>
  <si>
    <t>3520011ra</t>
  </si>
  <si>
    <t>3520021ra</t>
  </si>
  <si>
    <t>3523021ra</t>
  </si>
  <si>
    <t>3524011ra</t>
  </si>
  <si>
    <t>3524021ra</t>
  </si>
  <si>
    <t>3524061ra</t>
  </si>
  <si>
    <t>3527011ra</t>
  </si>
  <si>
    <t>3527021ra</t>
  </si>
  <si>
    <t>3530011ra</t>
  </si>
  <si>
    <t>3530021ra</t>
  </si>
  <si>
    <t>4016011ra</t>
  </si>
  <si>
    <t>4016021ra</t>
  </si>
  <si>
    <t>4016041ra</t>
  </si>
  <si>
    <t>4016081ra</t>
  </si>
  <si>
    <t>4058021ra</t>
  </si>
  <si>
    <t>4058231ra</t>
  </si>
  <si>
    <t>4154021ra</t>
  </si>
  <si>
    <t>4154051ra</t>
  </si>
  <si>
    <t>4157021ra</t>
  </si>
  <si>
    <t>4157051ra</t>
  </si>
  <si>
    <t>4157061ra</t>
  </si>
  <si>
    <t>5855051ra</t>
  </si>
  <si>
    <t>07</t>
  </si>
  <si>
    <t>5855071ra</t>
  </si>
  <si>
    <t>5855201ra</t>
  </si>
  <si>
    <t>5856051ra</t>
  </si>
  <si>
    <t>5856081ra</t>
  </si>
  <si>
    <t>5856201ra</t>
  </si>
  <si>
    <t>5861051ra</t>
  </si>
  <si>
    <t>5861111ra</t>
  </si>
  <si>
    <t>5863021ra</t>
  </si>
  <si>
    <t>5863051ra</t>
  </si>
  <si>
    <t>5863111ra</t>
  </si>
  <si>
    <t>5863201ra</t>
  </si>
  <si>
    <t>5866021ra</t>
  </si>
  <si>
    <t>5866051ra</t>
  </si>
  <si>
    <t>5874011ra</t>
  </si>
  <si>
    <t>5874021ra</t>
  </si>
  <si>
    <t>5874111ra</t>
  </si>
  <si>
    <t>5876011ra</t>
  </si>
  <si>
    <t>5876021ra</t>
  </si>
  <si>
    <t>5876061ra</t>
  </si>
  <si>
    <t>5877011ra</t>
  </si>
  <si>
    <t>5877021ra</t>
  </si>
  <si>
    <t>5877151ra</t>
  </si>
  <si>
    <t>5880011ra</t>
  </si>
  <si>
    <t>5880021ra</t>
  </si>
  <si>
    <t>5880051ra</t>
  </si>
  <si>
    <t>5881201ra</t>
  </si>
  <si>
    <t>5881211ra</t>
  </si>
  <si>
    <t>5981021ra</t>
  </si>
  <si>
    <t>5981211ra</t>
  </si>
  <si>
    <t>99</t>
  </si>
  <si>
    <t>6520991ra</t>
  </si>
  <si>
    <t>6521991ra</t>
  </si>
  <si>
    <t>6522991ra</t>
  </si>
  <si>
    <t>9485021ra</t>
  </si>
  <si>
    <t>9485081ra</t>
  </si>
  <si>
    <t>16</t>
  </si>
  <si>
    <t>9485161ra</t>
  </si>
  <si>
    <t>9513031ra</t>
  </si>
  <si>
    <t>9520031ra</t>
  </si>
  <si>
    <t>9543031ra</t>
  </si>
  <si>
    <t>9543081ra</t>
  </si>
  <si>
    <t>9551021ra</t>
  </si>
  <si>
    <t>9551081ra</t>
  </si>
  <si>
    <t>9606051ra</t>
  </si>
  <si>
    <t>9606081ra</t>
  </si>
  <si>
    <t>9606201ra</t>
  </si>
  <si>
    <t>9885022da</t>
  </si>
  <si>
    <t>9885052da</t>
  </si>
  <si>
    <t>9885112da</t>
  </si>
  <si>
    <t>9920051ra</t>
  </si>
  <si>
    <t>9920201ra</t>
  </si>
  <si>
    <t>9922051ra</t>
  </si>
  <si>
    <t>9922081ra</t>
  </si>
  <si>
    <t>9922111ra</t>
  </si>
  <si>
    <t>9923021ra</t>
  </si>
  <si>
    <t>9923051ra</t>
  </si>
  <si>
    <t>INVENADARIO real</t>
  </si>
  <si>
    <t>Suma de Compra</t>
  </si>
  <si>
    <t>Total</t>
  </si>
  <si>
    <t>Valores</t>
  </si>
  <si>
    <t>Suma de FACTURACION</t>
  </si>
  <si>
    <t>Suma de PEDIDOS</t>
  </si>
  <si>
    <t>4402021ra</t>
  </si>
  <si>
    <t>4402201ra</t>
  </si>
  <si>
    <t>4595201ra</t>
  </si>
  <si>
    <t>4815021ra</t>
  </si>
  <si>
    <t>4815081ra</t>
  </si>
  <si>
    <t/>
  </si>
  <si>
    <t>4833021ra</t>
  </si>
  <si>
    <t>9743021ra</t>
  </si>
  <si>
    <t>9743031ra</t>
  </si>
  <si>
    <t>9759021ra</t>
  </si>
  <si>
    <t>9759031ra</t>
  </si>
  <si>
    <t>GUIAS</t>
  </si>
  <si>
    <t>2026204ta</t>
  </si>
  <si>
    <t>4ta</t>
  </si>
  <si>
    <t>1818011ra</t>
  </si>
  <si>
    <t>1818051ra</t>
  </si>
  <si>
    <t>1818091ra</t>
  </si>
  <si>
    <t>1819011ra</t>
  </si>
  <si>
    <t>1819012da</t>
  </si>
  <si>
    <t>1819013ra</t>
  </si>
  <si>
    <t>3ra</t>
  </si>
  <si>
    <t>1819021ra</t>
  </si>
  <si>
    <t>1819022da</t>
  </si>
  <si>
    <t>1819023ra</t>
  </si>
  <si>
    <t>1819081ra</t>
  </si>
  <si>
    <t>1819082da</t>
  </si>
  <si>
    <t>1819083ra</t>
  </si>
  <si>
    <t>1824021ra</t>
  </si>
  <si>
    <t>1824211ra</t>
  </si>
  <si>
    <t>2083162da</t>
  </si>
  <si>
    <t>2084162da</t>
  </si>
  <si>
    <t>2903022da</t>
  </si>
  <si>
    <t>2920021ra</t>
  </si>
  <si>
    <t>2920022da</t>
  </si>
  <si>
    <t>2920091ra</t>
  </si>
  <si>
    <t>2920092da</t>
  </si>
  <si>
    <t>2933011ra</t>
  </si>
  <si>
    <t>2933021ra</t>
  </si>
  <si>
    <t>2937011ra</t>
  </si>
  <si>
    <t>2937012da</t>
  </si>
  <si>
    <t>2937021ra</t>
  </si>
  <si>
    <t>2937022da</t>
  </si>
  <si>
    <t>2965</t>
  </si>
  <si>
    <t>2965112da</t>
  </si>
  <si>
    <t>2989113ra</t>
  </si>
  <si>
    <t>3027201ra</t>
  </si>
  <si>
    <t>3079021ra</t>
  </si>
  <si>
    <t>3079031ra</t>
  </si>
  <si>
    <t>3097021ra</t>
  </si>
  <si>
    <t>3097201ra</t>
  </si>
  <si>
    <t>3105</t>
  </si>
  <si>
    <t>3105201ra</t>
  </si>
  <si>
    <t>3106021ra</t>
  </si>
  <si>
    <t>27</t>
  </si>
  <si>
    <t>3106271ra</t>
  </si>
  <si>
    <t>3392201ra</t>
  </si>
  <si>
    <t>4019</t>
  </si>
  <si>
    <t>4019231ra</t>
  </si>
  <si>
    <t>4180161ra</t>
  </si>
  <si>
    <t>4402221ra</t>
  </si>
  <si>
    <t>4421021ra</t>
  </si>
  <si>
    <t>4421161ra</t>
  </si>
  <si>
    <t>4458021ra</t>
  </si>
  <si>
    <t>4458031ra</t>
  </si>
  <si>
    <t>4501021ra</t>
  </si>
  <si>
    <t>4501131ra</t>
  </si>
  <si>
    <t>4544021ra</t>
  </si>
  <si>
    <t>4544131ra</t>
  </si>
  <si>
    <t>4561021ra</t>
  </si>
  <si>
    <t>4561031ra</t>
  </si>
  <si>
    <t>4561161ra</t>
  </si>
  <si>
    <t>4595021ra</t>
  </si>
  <si>
    <t>4595031ra</t>
  </si>
  <si>
    <t>4756161ra</t>
  </si>
  <si>
    <t>4783021ra</t>
  </si>
  <si>
    <t>4783031ra</t>
  </si>
  <si>
    <t>4799021ra</t>
  </si>
  <si>
    <t>4799161ra</t>
  </si>
  <si>
    <t>4805021ra</t>
  </si>
  <si>
    <t>4805031ra</t>
  </si>
  <si>
    <t>4814021ra</t>
  </si>
  <si>
    <t>4814031ra</t>
  </si>
  <si>
    <t>26</t>
  </si>
  <si>
    <t>4814261ra</t>
  </si>
  <si>
    <t>4830001ra</t>
  </si>
  <si>
    <t>4830021ra</t>
  </si>
  <si>
    <t>4830201ra</t>
  </si>
  <si>
    <t>4833271ra</t>
  </si>
  <si>
    <t>4837021ra</t>
  </si>
  <si>
    <t>4837031ra</t>
  </si>
  <si>
    <t>4837081ra</t>
  </si>
  <si>
    <t>4837131ra</t>
  </si>
  <si>
    <t>4842021ra</t>
  </si>
  <si>
    <t>4842111ra</t>
  </si>
  <si>
    <t>4842131ra</t>
  </si>
  <si>
    <t>4843021ra</t>
  </si>
  <si>
    <t>4843081ra</t>
  </si>
  <si>
    <t>4843131ra</t>
  </si>
  <si>
    <t>4850021ra</t>
  </si>
  <si>
    <t>4850161ra</t>
  </si>
  <si>
    <t>4852021ra</t>
  </si>
  <si>
    <t>4852061ra</t>
  </si>
  <si>
    <t>4852131ra</t>
  </si>
  <si>
    <t>4856021ra</t>
  </si>
  <si>
    <t>4856161ra</t>
  </si>
  <si>
    <t>4864021ra</t>
  </si>
  <si>
    <t>4864031ra</t>
  </si>
  <si>
    <t>4865021ra</t>
  </si>
  <si>
    <t>4865161ra</t>
  </si>
  <si>
    <t>4866021ra</t>
  </si>
  <si>
    <t>4866031ra</t>
  </si>
  <si>
    <t>4867021ra</t>
  </si>
  <si>
    <t>4867031ra</t>
  </si>
  <si>
    <t>4868021ra</t>
  </si>
  <si>
    <t>4868031ra</t>
  </si>
  <si>
    <t>31</t>
  </si>
  <si>
    <t>5848311ra</t>
  </si>
  <si>
    <t>5868021ra</t>
  </si>
  <si>
    <t>5868081ra</t>
  </si>
  <si>
    <t>5868111ra</t>
  </si>
  <si>
    <t>5869081ra</t>
  </si>
  <si>
    <t>5869111ra</t>
  </si>
  <si>
    <t>5870021ra</t>
  </si>
  <si>
    <t>5870111ra</t>
  </si>
  <si>
    <t>5870161ra</t>
  </si>
  <si>
    <t>5871021ra</t>
  </si>
  <si>
    <t>5871051ra</t>
  </si>
  <si>
    <t>5871131ra</t>
  </si>
  <si>
    <t>5872021ra</t>
  </si>
  <si>
    <t>5872051ra</t>
  </si>
  <si>
    <t>5872111ra</t>
  </si>
  <si>
    <t>5902202da</t>
  </si>
  <si>
    <t>6000203ra</t>
  </si>
  <si>
    <t>6001202da</t>
  </si>
  <si>
    <t>6518021ra</t>
  </si>
  <si>
    <t>6518022da</t>
  </si>
  <si>
    <t>6518023ra</t>
  </si>
  <si>
    <t>6518051ra</t>
  </si>
  <si>
    <t>6518052da</t>
  </si>
  <si>
    <t>6519021ra</t>
  </si>
  <si>
    <t>6519022da</t>
  </si>
  <si>
    <t>6519023ra</t>
  </si>
  <si>
    <t>6606112da</t>
  </si>
  <si>
    <t>9013</t>
  </si>
  <si>
    <t>9013164ta</t>
  </si>
  <si>
    <t>225</t>
  </si>
  <si>
    <t>9447111ra</t>
  </si>
  <si>
    <t>9448162da</t>
  </si>
  <si>
    <t>9476131ra</t>
  </si>
  <si>
    <t>9480031ra</t>
  </si>
  <si>
    <t>9480081ra</t>
  </si>
  <si>
    <t>9752021ra</t>
  </si>
  <si>
    <t>9752031ra</t>
  </si>
  <si>
    <t>9759051ra</t>
  </si>
  <si>
    <t>9763021ra</t>
  </si>
  <si>
    <t>9763031ra</t>
  </si>
  <si>
    <t>9764031ra</t>
  </si>
  <si>
    <t>9765031ra</t>
  </si>
  <si>
    <t>9765081ra</t>
  </si>
  <si>
    <t>9839202da</t>
  </si>
  <si>
    <t>9840</t>
  </si>
  <si>
    <t>9840082da</t>
  </si>
  <si>
    <t>9844</t>
  </si>
  <si>
    <t>9844202da</t>
  </si>
  <si>
    <t>9863132da</t>
  </si>
  <si>
    <t>9868112da</t>
  </si>
  <si>
    <t>9875</t>
  </si>
  <si>
    <t>9875082da</t>
  </si>
  <si>
    <t>9876204ta</t>
  </si>
  <si>
    <t>9877204ta</t>
  </si>
  <si>
    <t>9879204ta</t>
  </si>
  <si>
    <t>9883021ra</t>
  </si>
  <si>
    <t>9883051ra</t>
  </si>
  <si>
    <t>9883111ra</t>
  </si>
  <si>
    <t>9886011ra</t>
  </si>
  <si>
    <t>9886012da</t>
  </si>
  <si>
    <t>9886021ra</t>
  </si>
  <si>
    <t>9886022da</t>
  </si>
  <si>
    <t>9887021ra</t>
  </si>
  <si>
    <t>9887022da</t>
  </si>
  <si>
    <t>9887201ra</t>
  </si>
  <si>
    <t>9887202da</t>
  </si>
  <si>
    <t>9888011ra</t>
  </si>
  <si>
    <t>9888021ra</t>
  </si>
  <si>
    <t>9888111ra</t>
  </si>
  <si>
    <t>9892021ra</t>
  </si>
  <si>
    <t>9892022da</t>
  </si>
  <si>
    <t>9895021ra</t>
  </si>
  <si>
    <t>9895081ra</t>
  </si>
  <si>
    <t>9895111ra</t>
  </si>
  <si>
    <t>9897021ra</t>
  </si>
  <si>
    <t>9897031ra</t>
  </si>
  <si>
    <t>9903</t>
  </si>
  <si>
    <t>9903202da</t>
  </si>
  <si>
    <t>9909021ra</t>
  </si>
  <si>
    <t>9909081ra</t>
  </si>
  <si>
    <t>9910</t>
  </si>
  <si>
    <t>9910152da</t>
  </si>
  <si>
    <t>9911</t>
  </si>
  <si>
    <t>9911022da</t>
  </si>
  <si>
    <t>9912</t>
  </si>
  <si>
    <t>9912022da</t>
  </si>
  <si>
    <t>9915021ra</t>
  </si>
  <si>
    <t>9915051ra</t>
  </si>
  <si>
    <t>9916111ra</t>
  </si>
  <si>
    <t>9916031ra</t>
  </si>
  <si>
    <t>error</t>
  </si>
  <si>
    <t>pedidos</t>
  </si>
  <si>
    <t>2126021ra</t>
  </si>
  <si>
    <t>2037021ra</t>
  </si>
  <si>
    <t>2037022da</t>
  </si>
  <si>
    <t>2037211ra</t>
  </si>
  <si>
    <t>2037212da</t>
  </si>
  <si>
    <t>2037231ra</t>
  </si>
  <si>
    <t>2037232da</t>
  </si>
  <si>
    <t>2502011ra</t>
  </si>
  <si>
    <t>2502091ra</t>
  </si>
  <si>
    <t>2510</t>
  </si>
  <si>
    <t>2510051ra</t>
  </si>
  <si>
    <t>2510052da</t>
  </si>
  <si>
    <t>2510091ra</t>
  </si>
  <si>
    <t>2510092da</t>
  </si>
  <si>
    <t>2589</t>
  </si>
  <si>
    <t>2589011ra</t>
  </si>
  <si>
    <t>2589012da</t>
  </si>
  <si>
    <t>2589091ra</t>
  </si>
  <si>
    <t>2589092da</t>
  </si>
  <si>
    <t>2592011ra</t>
  </si>
  <si>
    <t>2592021ra</t>
  </si>
  <si>
    <t>2903012da</t>
  </si>
  <si>
    <t>2903013ra</t>
  </si>
  <si>
    <t>2903023ra</t>
  </si>
  <si>
    <t>2903202da</t>
  </si>
  <si>
    <t>2903203ra</t>
  </si>
  <si>
    <t>3016</t>
  </si>
  <si>
    <t>3016021ra</t>
  </si>
  <si>
    <t>3016061ra</t>
  </si>
  <si>
    <t>3016201ra</t>
  </si>
  <si>
    <t>3019201ra</t>
  </si>
  <si>
    <t>3019261ra</t>
  </si>
  <si>
    <t>3027021ra</t>
  </si>
  <si>
    <t>3027041ra</t>
  </si>
  <si>
    <t>3027061ra</t>
  </si>
  <si>
    <t>3048021ra</t>
  </si>
  <si>
    <t>3048061ra</t>
  </si>
  <si>
    <t>3067</t>
  </si>
  <si>
    <t>3067021ra</t>
  </si>
  <si>
    <t>3067211ra</t>
  </si>
  <si>
    <t>3067231ra</t>
  </si>
  <si>
    <t>3071</t>
  </si>
  <si>
    <t>3071021ra</t>
  </si>
  <si>
    <t>3071211ra</t>
  </si>
  <si>
    <t>3071231ra</t>
  </si>
  <si>
    <t>3091</t>
  </si>
  <si>
    <t>3091021ra</t>
  </si>
  <si>
    <t>3091211ra</t>
  </si>
  <si>
    <t>3091231ra</t>
  </si>
  <si>
    <t>3100</t>
  </si>
  <si>
    <t>3100011ra</t>
  </si>
  <si>
    <t>3100021ra</t>
  </si>
  <si>
    <t>3101</t>
  </si>
  <si>
    <t>3101021ra</t>
  </si>
  <si>
    <t>3101051ra</t>
  </si>
  <si>
    <t>3101061ra</t>
  </si>
  <si>
    <t>3104</t>
  </si>
  <si>
    <t>3104021ra</t>
  </si>
  <si>
    <t>3104061ra</t>
  </si>
  <si>
    <t>3105021ra</t>
  </si>
  <si>
    <t>3105051ra</t>
  </si>
  <si>
    <t>3105061ra</t>
  </si>
  <si>
    <t>3710</t>
  </si>
  <si>
    <t>3710011ra</t>
  </si>
  <si>
    <t>3710021ra</t>
  </si>
  <si>
    <t>3710131ra</t>
  </si>
  <si>
    <t>3724</t>
  </si>
  <si>
    <t>3724001ra</t>
  </si>
  <si>
    <t>3724021ra</t>
  </si>
  <si>
    <t>3724051ra</t>
  </si>
  <si>
    <t>3747</t>
  </si>
  <si>
    <t>3747021ra</t>
  </si>
  <si>
    <t>3747211ra</t>
  </si>
  <si>
    <t>3765021ra</t>
  </si>
  <si>
    <t>4003</t>
  </si>
  <si>
    <t>4003021ra</t>
  </si>
  <si>
    <t>4003201ra</t>
  </si>
  <si>
    <t>4003231ra</t>
  </si>
  <si>
    <t>4004</t>
  </si>
  <si>
    <t>4004021ra</t>
  </si>
  <si>
    <t>4004061ra</t>
  </si>
  <si>
    <t>4011</t>
  </si>
  <si>
    <t>4011021ra</t>
  </si>
  <si>
    <t>4011051ra</t>
  </si>
  <si>
    <t>4011081ra</t>
  </si>
  <si>
    <t>4019021ra</t>
  </si>
  <si>
    <t>4019051ra</t>
  </si>
  <si>
    <t>4019211ra</t>
  </si>
  <si>
    <t>4020</t>
  </si>
  <si>
    <t>4020021ra</t>
  </si>
  <si>
    <t>4020051ra</t>
  </si>
  <si>
    <t>4020131ra</t>
  </si>
  <si>
    <t>5818</t>
  </si>
  <si>
    <t>5818021ra</t>
  </si>
  <si>
    <t>5818051ra</t>
  </si>
  <si>
    <t>5823021ra</t>
  </si>
  <si>
    <t>5823111ra</t>
  </si>
  <si>
    <t>5826021ra</t>
  </si>
  <si>
    <t>5826051ra</t>
  </si>
  <si>
    <t>5826091ra</t>
  </si>
  <si>
    <t>5834011ra</t>
  </si>
  <si>
    <t>5834021ra</t>
  </si>
  <si>
    <t>5835011ra</t>
  </si>
  <si>
    <t>5835021ra</t>
  </si>
  <si>
    <t>5841011ra</t>
  </si>
  <si>
    <t>5841021ra</t>
  </si>
  <si>
    <t>5841201ra</t>
  </si>
  <si>
    <t>5844051ra</t>
  </si>
  <si>
    <t>5844111ra</t>
  </si>
  <si>
    <t>5844201ra</t>
  </si>
  <si>
    <t>5850</t>
  </si>
  <si>
    <t>5850011ra</t>
  </si>
  <si>
    <t>5850021ra</t>
  </si>
  <si>
    <t>5852021ra</t>
  </si>
  <si>
    <t>5852051ra</t>
  </si>
  <si>
    <t>5852111ra</t>
  </si>
  <si>
    <t>5853</t>
  </si>
  <si>
    <t>5853011ra</t>
  </si>
  <si>
    <t>5853021ra</t>
  </si>
  <si>
    <t>5873021ra</t>
  </si>
  <si>
    <t>5873111ra</t>
  </si>
  <si>
    <t>5873201ra</t>
  </si>
  <si>
    <t>9004</t>
  </si>
  <si>
    <t>9004021ra</t>
  </si>
  <si>
    <t>9004161ra</t>
  </si>
  <si>
    <t>9004201ra</t>
  </si>
  <si>
    <t>9010</t>
  </si>
  <si>
    <t>9010021ra</t>
  </si>
  <si>
    <t>9010161ra</t>
  </si>
  <si>
    <t>9010201ra</t>
  </si>
  <si>
    <t>9013021ra</t>
  </si>
  <si>
    <t>9013161ra</t>
  </si>
  <si>
    <t>9013201ra</t>
  </si>
  <si>
    <t>9469</t>
  </si>
  <si>
    <t>9469081ra</t>
  </si>
  <si>
    <t>9469161ra</t>
  </si>
  <si>
    <t>9470</t>
  </si>
  <si>
    <t>9470031ra</t>
  </si>
  <si>
    <t>9481</t>
  </si>
  <si>
    <t>9481021ra</t>
  </si>
  <si>
    <t>9481031ra</t>
  </si>
  <si>
    <t>9487</t>
  </si>
  <si>
    <t>9487021ra</t>
  </si>
  <si>
    <t>9487161ra</t>
  </si>
  <si>
    <t>9530031ra</t>
  </si>
  <si>
    <t>9541031ra</t>
  </si>
  <si>
    <t>9601031ra</t>
  </si>
  <si>
    <t>9601051ra</t>
  </si>
  <si>
    <t>9805021ra</t>
  </si>
  <si>
    <t>9805111ra</t>
  </si>
  <si>
    <t>9849</t>
  </si>
  <si>
    <t>9849021ra</t>
  </si>
  <si>
    <t>9849051ra</t>
  </si>
  <si>
    <t>9849111ra</t>
  </si>
  <si>
    <t>9875021ra</t>
  </si>
  <si>
    <t>9875022da</t>
  </si>
  <si>
    <t>9875081ra</t>
  </si>
  <si>
    <t>9881031ra</t>
  </si>
  <si>
    <t>9881051ra</t>
  </si>
  <si>
    <t>9881081ra</t>
  </si>
  <si>
    <t>9910011ra</t>
  </si>
  <si>
    <t>9910012da</t>
  </si>
  <si>
    <t>9910151ra</t>
  </si>
  <si>
    <t>9911013ra</t>
  </si>
  <si>
    <t>9911014ta</t>
  </si>
  <si>
    <t>9911023ra</t>
  </si>
  <si>
    <t>9911024ta</t>
  </si>
  <si>
    <t>9912013ra</t>
  </si>
  <si>
    <t>9912014ta</t>
  </si>
  <si>
    <t>9912023ra</t>
  </si>
  <si>
    <t>9912024ta</t>
  </si>
  <si>
    <t>9913</t>
  </si>
  <si>
    <t>14</t>
  </si>
  <si>
    <t>9913142da</t>
  </si>
  <si>
    <t>9913143ra</t>
  </si>
  <si>
    <t>9914</t>
  </si>
  <si>
    <t>9914142da</t>
  </si>
  <si>
    <t>9914143ra</t>
  </si>
  <si>
    <t>COMPRA total</t>
  </si>
  <si>
    <t>Suma de COMPRA total</t>
  </si>
  <si>
    <t>verano 2024</t>
  </si>
  <si>
    <t>invierno 2025</t>
  </si>
  <si>
    <t>verano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</si>
</sst>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 * #,##0_ ;_ * \-#,##0_ ;_ * &quot;-&quot;_ ;_ @_ "/>
    <numFmt numFmtId="164" formatCode="_-* #,##0.00_-;\-* #,##0.00_-;_-* &quot;-&quot;??_-;_-@_-"/>
    <numFmt numFmtId="165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Arial"/>
      <family val="2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pivotButton="1"/>
    <xf numFmtId="9" fontId="0" fillId="0" borderId="0" xfId="2" applyFont="1"/>
    <xf numFmtId="41" fontId="0" fillId="0" borderId="0" xfId="1" applyFont="1"/>
    <xf numFmtId="9" fontId="0" fillId="0" borderId="0" xfId="0" applyNumberFormat="1"/>
    <xf numFmtId="0" fontId="2" fillId="0" borderId="0" xfId="0" applyFont="1"/>
    <xf numFmtId="49" fontId="0" fillId="0" borderId="0" xfId="0" applyNumberFormat="1"/>
    <xf numFmtId="0" fontId="4" fillId="0" borderId="0" xfId="0" applyFont="1"/>
    <xf numFmtId="165" fontId="0" fillId="0" borderId="0" xfId="2" applyNumberFormat="1" applyFont="1"/>
  </cellXfs>
  <cellStyles count="4">
    <cellStyle name="Millares [0]" xfId="1" builtinId="6"/>
    <cellStyle name="Millares 2 2" xfId="3" xr:uid="{575DBA84-8F19-413C-8888-CB7197552A4F}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ISTOPHER" refreshedDate="45985.56983912037" createdVersion="8" refreshedVersion="8" minRefreshableVersion="3" recordCount="164" xr:uid="{A557BAE7-90F9-49C4-BFB2-164C4AA1483F}">
  <cacheSource type="worksheet">
    <worksheetSource ref="A1:N165" sheet="verano2025"/>
  </cacheSource>
  <cacheFields count="14">
    <cacheField name="ART" numFmtId="0">
      <sharedItems containsSemiMixedTypes="0" containsString="0" containsNumber="1" containsInteger="1" minValue="2018" maxValue="9923"/>
    </cacheField>
    <cacheField name="COLOR" numFmtId="0">
      <sharedItems/>
    </cacheField>
    <cacheField name="COD COMPLETO" numFmtId="0">
      <sharedItems/>
    </cacheField>
    <cacheField name="CURVA" numFmtId="0">
      <sharedItems/>
    </cacheField>
    <cacheField name="Stock" numFmtId="0">
      <sharedItems containsNonDate="0" containsString="0" containsBlank="1"/>
    </cacheField>
    <cacheField name="Compra" numFmtId="0">
      <sharedItems containsSemiMixedTypes="0" containsString="0" containsNumber="1" containsInteger="1" minValue="72" maxValue="1800"/>
    </cacheField>
    <cacheField name="COMPRA2" numFmtId="0">
      <sharedItems containsString="0" containsBlank="1" containsNumber="1" containsInteger="1" minValue="300" maxValue="510"/>
    </cacheField>
    <cacheField name="COMPRA3" numFmtId="0">
      <sharedItems containsNonDate="0" containsString="0" containsBlank="1"/>
    </cacheField>
    <cacheField name="COMPRA4" numFmtId="0">
      <sharedItems containsNonDate="0" containsString="0" containsBlank="1"/>
    </cacheField>
    <cacheField name="STOCK2" numFmtId="0">
      <sharedItems containsSemiMixedTypes="0" containsString="0" containsNumber="1" containsInteger="1" minValue="72" maxValue="1950"/>
    </cacheField>
    <cacheField name="PEDIDOS" numFmtId="0">
      <sharedItems containsSemiMixedTypes="0" containsString="0" containsNumber="1" containsInteger="1" minValue="72" maxValue="1440"/>
    </cacheField>
    <cacheField name="FACTURACION" numFmtId="0">
      <sharedItems containsSemiMixedTypes="0" containsString="0" containsNumber="1" containsInteger="1" minValue="12" maxValue="1020"/>
    </cacheField>
    <cacheField name="INVENTARIO" numFmtId="0">
      <sharedItems containsSemiMixedTypes="0" containsString="0" containsNumber="1" containsInteger="1" minValue="-120" maxValue="675"/>
    </cacheField>
    <cacheField name="INVENADARIO real" numFmtId="0">
      <sharedItems containsSemiMixedTypes="0" containsString="0" containsNumber="1" containsInteger="1" minValue="0" maxValue="6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ISTOPHER" refreshedDate="45985.5814875" createdVersion="8" refreshedVersion="8" minRefreshableVersion="3" recordCount="187" xr:uid="{E644BEEF-51A4-43B9-8AE6-726E48B59C6B}">
  <cacheSource type="worksheet">
    <worksheetSource ref="A1:M188" sheet="invierno2025"/>
  </cacheSource>
  <cacheFields count="13">
    <cacheField name="ART" numFmtId="0">
      <sharedItems containsMixedTypes="1" containsNumber="1" containsInteger="1" minValue="1818" maxValue="9916"/>
    </cacheField>
    <cacheField name="COLOR" numFmtId="0">
      <sharedItems containsMixedTypes="1" containsNumber="1" containsInteger="1" minValue="21" maxValue="21"/>
    </cacheField>
    <cacheField name="COD COMPLETO" numFmtId="0">
      <sharedItems/>
    </cacheField>
    <cacheField name="CURVA" numFmtId="0">
      <sharedItems/>
    </cacheField>
    <cacheField name="Stock" numFmtId="0">
      <sharedItems containsBlank="1" containsMixedTypes="1" containsNumber="1" containsInteger="1" minValue="-75" maxValue="840"/>
    </cacheField>
    <cacheField name="Compra" numFmtId="0">
      <sharedItems containsSemiMixedTypes="0" containsString="0" containsNumber="1" containsInteger="1" minValue="0" maxValue="4140"/>
    </cacheField>
    <cacheField name="COMPRA2" numFmtId="0">
      <sharedItems containsBlank="1" containsMixedTypes="1" containsNumber="1" containsInteger="1" minValue="300" maxValue="300"/>
    </cacheField>
    <cacheField name="STOCK2" numFmtId="0">
      <sharedItems containsSemiMixedTypes="0" containsString="0" containsNumber="1" containsInteger="1" minValue="0" maxValue="4065"/>
    </cacheField>
    <cacheField name="PEDIDOS" numFmtId="0">
      <sharedItems containsSemiMixedTypes="0" containsString="0" containsNumber="1" containsInteger="1" minValue="0" maxValue="2168"/>
    </cacheField>
    <cacheField name="FACTURACION" numFmtId="0">
      <sharedItems containsMixedTypes="1" containsNumber="1" containsInteger="1" minValue="-2" maxValue="2255"/>
    </cacheField>
    <cacheField name="INVENTARIO" numFmtId="0">
      <sharedItems containsSemiMixedTypes="0" containsString="0" containsNumber="1" containsInteger="1" minValue="-345" maxValue="1897"/>
    </cacheField>
    <cacheField name="GUIAS" numFmtId="0">
      <sharedItems containsSemiMixedTypes="0" containsString="0" containsNumber="1" containsInteger="1" minValue="0" maxValue="510"/>
    </cacheField>
    <cacheField name="INVENADARIO" numFmtId="0">
      <sharedItems containsSemiMixedTypes="0" containsString="0" containsNumber="1" containsInteger="1" minValue="0" maxValue="16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ISTOPHER" refreshedDate="45985.638546412039" createdVersion="8" refreshedVersion="8" minRefreshableVersion="3" recordCount="158" xr:uid="{0CD070CF-EAE9-44A6-A3FE-9B7E7A19A155}">
  <cacheSource type="worksheet">
    <worksheetSource ref="A1:N159" sheet="verano2024"/>
  </cacheSource>
  <cacheFields count="14">
    <cacheField name="ART" numFmtId="0">
      <sharedItems containsMixedTypes="1" containsNumber="1" containsInteger="1" minValue="2037" maxValue="9883"/>
    </cacheField>
    <cacheField name="COLOR" numFmtId="0">
      <sharedItems/>
    </cacheField>
    <cacheField name="COD COMPLETO" numFmtId="0">
      <sharedItems/>
    </cacheField>
    <cacheField name="CURVA" numFmtId="0">
      <sharedItems/>
    </cacheField>
    <cacheField name="Stock" numFmtId="0">
      <sharedItems containsString="0" containsBlank="1" containsNumber="1" containsInteger="1" minValue="804" maxValue="804"/>
    </cacheField>
    <cacheField name="Compra" numFmtId="0">
      <sharedItems containsSemiMixedTypes="0" containsString="0" containsNumber="1" minValue="0" maxValue="1500"/>
    </cacheField>
    <cacheField name="COMPRA2" numFmtId="0">
      <sharedItems containsNonDate="0" containsString="0" containsBlank="1"/>
    </cacheField>
    <cacheField name="COMPRA3" numFmtId="0">
      <sharedItems containsString="0" containsBlank="1" containsNumber="1" containsInteger="1" minValue="450" maxValue="795"/>
    </cacheField>
    <cacheField name="COMPRA total" numFmtId="0">
      <sharedItems containsString="0" containsBlank="1" containsNumber="1" minValue="0" maxValue="1500"/>
    </cacheField>
    <cacheField name="STOCK2" numFmtId="0">
      <sharedItems containsSemiMixedTypes="0" containsString="0" containsNumber="1" minValue="0" maxValue="1500"/>
    </cacheField>
    <cacheField name="PEDIDOS" numFmtId="0">
      <sharedItems containsSemiMixedTypes="0" containsString="0" containsNumber="1" containsInteger="1" minValue="0" maxValue="1260"/>
    </cacheField>
    <cacheField name="pedidos2" numFmtId="0">
      <sharedItems containsSemiMixedTypes="0" containsString="0" containsNumber="1" containsInteger="1" minValue="0" maxValue="270"/>
    </cacheField>
    <cacheField name="FACTURACION" numFmtId="0">
      <sharedItems containsSemiMixedTypes="0" containsString="0" containsNumber="1" containsInteger="1" minValue="0" maxValue="1035"/>
    </cacheField>
    <cacheField name="INVENTARIO" numFmtId="0">
      <sharedItems containsSemiMixedTypes="0" containsString="0" containsNumber="1" minValue="-180" maxValue="8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n v="2018"/>
    <s v="01"/>
    <s v="2018011ra"/>
    <s v="1ra"/>
    <m/>
    <n v="264"/>
    <m/>
    <m/>
    <m/>
    <n v="264"/>
    <n v="228"/>
    <n v="108"/>
    <n v="36"/>
    <n v="36"/>
  </r>
  <r>
    <n v="2018"/>
    <s v="01"/>
    <s v="2018012da"/>
    <s v="2da"/>
    <m/>
    <n v="330"/>
    <m/>
    <m/>
    <m/>
    <n v="330"/>
    <n v="360"/>
    <n v="210"/>
    <n v="-30"/>
    <n v="0"/>
  </r>
  <r>
    <n v="2018"/>
    <s v="02"/>
    <s v="2018021ra"/>
    <s v="1ra"/>
    <m/>
    <n v="156"/>
    <m/>
    <m/>
    <m/>
    <n v="156"/>
    <n v="132"/>
    <n v="72"/>
    <n v="24"/>
    <n v="24"/>
  </r>
  <r>
    <n v="2018"/>
    <s v="02"/>
    <s v="2018022da"/>
    <s v="2da"/>
    <m/>
    <n v="165"/>
    <m/>
    <m/>
    <m/>
    <n v="165"/>
    <n v="165"/>
    <n v="90"/>
    <n v="0"/>
    <n v="0"/>
  </r>
  <r>
    <n v="2034"/>
    <s v="02"/>
    <s v="2034021ra"/>
    <s v="1ra"/>
    <m/>
    <n v="132"/>
    <m/>
    <m/>
    <m/>
    <n v="132"/>
    <n v="72"/>
    <n v="12"/>
    <n v="60"/>
    <n v="60"/>
  </r>
  <r>
    <n v="2034"/>
    <s v="02"/>
    <s v="2034022da"/>
    <s v="2da"/>
    <m/>
    <n v="195"/>
    <m/>
    <m/>
    <m/>
    <n v="195"/>
    <n v="135"/>
    <n v="45"/>
    <n v="60"/>
    <n v="60"/>
  </r>
  <r>
    <n v="2034"/>
    <s v="21"/>
    <s v="2034211ra"/>
    <s v="1ra"/>
    <m/>
    <n v="240"/>
    <m/>
    <m/>
    <m/>
    <n v="240"/>
    <n v="132"/>
    <n v="72"/>
    <n v="108"/>
    <n v="108"/>
  </r>
  <r>
    <n v="2034"/>
    <s v="21"/>
    <s v="2034212da"/>
    <s v="2da"/>
    <m/>
    <n v="345"/>
    <m/>
    <m/>
    <m/>
    <n v="345"/>
    <n v="180"/>
    <n v="105"/>
    <n v="165"/>
    <n v="165"/>
  </r>
  <r>
    <n v="2508"/>
    <s v="01"/>
    <s v="2508011ra"/>
    <s v="1ra"/>
    <m/>
    <n v="450"/>
    <m/>
    <m/>
    <m/>
    <n v="450"/>
    <n v="165"/>
    <n v="90"/>
    <n v="285"/>
    <n v="285"/>
  </r>
  <r>
    <n v="2508"/>
    <s v="09"/>
    <s v="2508091ra"/>
    <s v="1ra"/>
    <m/>
    <n v="450"/>
    <m/>
    <m/>
    <m/>
    <n v="450"/>
    <n v="270"/>
    <n v="195"/>
    <n v="180"/>
    <n v="180"/>
  </r>
  <r>
    <n v="2594"/>
    <s v="01"/>
    <s v="2594011ra"/>
    <s v="1ra"/>
    <m/>
    <n v="204"/>
    <m/>
    <m/>
    <m/>
    <n v="204"/>
    <n v="192"/>
    <n v="120"/>
    <n v="12"/>
    <n v="36"/>
  </r>
  <r>
    <n v="2594"/>
    <s v="01"/>
    <s v="2594012da"/>
    <s v="2da"/>
    <m/>
    <n v="210"/>
    <m/>
    <m/>
    <m/>
    <n v="210"/>
    <n v="255"/>
    <n v="135"/>
    <n v="-45"/>
    <n v="0"/>
  </r>
  <r>
    <n v="2594"/>
    <s v="09"/>
    <s v="2594091ra"/>
    <s v="1ra"/>
    <m/>
    <n v="300"/>
    <m/>
    <m/>
    <m/>
    <n v="300"/>
    <n v="264"/>
    <n v="180"/>
    <n v="36"/>
    <n v="60"/>
  </r>
  <r>
    <n v="2594"/>
    <s v="09"/>
    <s v="2594092da"/>
    <s v="2da"/>
    <m/>
    <n v="300"/>
    <m/>
    <m/>
    <m/>
    <n v="300"/>
    <n v="300"/>
    <n v="240"/>
    <n v="0"/>
    <n v="0"/>
  </r>
  <r>
    <n v="2595"/>
    <s v="01"/>
    <s v="2595011ra"/>
    <s v="1ra"/>
    <m/>
    <n v="405"/>
    <m/>
    <m/>
    <m/>
    <n v="405"/>
    <n v="345"/>
    <n v="255"/>
    <n v="60"/>
    <n v="60"/>
  </r>
  <r>
    <n v="2595"/>
    <s v="09"/>
    <s v="2595091ra"/>
    <s v="1ra"/>
    <m/>
    <n v="720"/>
    <m/>
    <m/>
    <m/>
    <n v="720"/>
    <n v="510"/>
    <n v="360"/>
    <n v="210"/>
    <n v="210"/>
  </r>
  <r>
    <n v="2610"/>
    <s v="05"/>
    <s v="2610051ra"/>
    <s v="1ra"/>
    <m/>
    <n v="240"/>
    <m/>
    <m/>
    <m/>
    <n v="240"/>
    <n v="255"/>
    <n v="135"/>
    <n v="-15"/>
    <n v="0"/>
  </r>
  <r>
    <n v="2610"/>
    <s v="05"/>
    <s v="2610052da"/>
    <s v="2da"/>
    <m/>
    <n v="270"/>
    <m/>
    <m/>
    <m/>
    <n v="270"/>
    <n v="225"/>
    <n v="105"/>
    <n v="45"/>
    <n v="45"/>
  </r>
  <r>
    <n v="2610"/>
    <s v="08"/>
    <s v="2610081ra"/>
    <s v="1ra"/>
    <m/>
    <n v="450"/>
    <m/>
    <m/>
    <m/>
    <n v="450"/>
    <n v="390"/>
    <n v="270"/>
    <n v="60"/>
    <n v="60"/>
  </r>
  <r>
    <n v="2610"/>
    <s v="08"/>
    <s v="2610082da"/>
    <s v="2da"/>
    <m/>
    <n v="450"/>
    <m/>
    <m/>
    <m/>
    <n v="450"/>
    <n v="420"/>
    <n v="285"/>
    <n v="30"/>
    <n v="30"/>
  </r>
  <r>
    <n v="2611"/>
    <s v="05"/>
    <s v="2611051ra"/>
    <s v="1ra"/>
    <m/>
    <n v="1005"/>
    <m/>
    <m/>
    <m/>
    <n v="1005"/>
    <n v="330"/>
    <n v="240"/>
    <n v="675"/>
    <n v="675"/>
  </r>
  <r>
    <n v="2916"/>
    <s v="05"/>
    <s v="2916051ra"/>
    <s v="1ra"/>
    <m/>
    <n v="300"/>
    <m/>
    <m/>
    <m/>
    <n v="300"/>
    <n v="312"/>
    <n v="252"/>
    <n v="-12"/>
    <n v="0"/>
  </r>
  <r>
    <n v="2916"/>
    <s v="05"/>
    <s v="2916052da"/>
    <s v="2da"/>
    <m/>
    <n v="300"/>
    <m/>
    <m/>
    <m/>
    <n v="300"/>
    <n v="300"/>
    <n v="252"/>
    <n v="0"/>
    <n v="0"/>
  </r>
  <r>
    <n v="2916"/>
    <s v="50"/>
    <s v="2916501ra"/>
    <s v="1ra"/>
    <m/>
    <n v="300"/>
    <m/>
    <m/>
    <m/>
    <n v="300"/>
    <n v="288"/>
    <n v="252"/>
    <n v="12"/>
    <n v="12"/>
  </r>
  <r>
    <n v="2916"/>
    <s v="50"/>
    <s v="2916502da"/>
    <s v="2da"/>
    <m/>
    <n v="300"/>
    <m/>
    <m/>
    <m/>
    <n v="300"/>
    <n v="240"/>
    <n v="204"/>
    <n v="60"/>
    <n v="60"/>
  </r>
  <r>
    <n v="2917"/>
    <s v="01"/>
    <s v="2917011ra"/>
    <s v="1ra"/>
    <m/>
    <n v="360"/>
    <m/>
    <m/>
    <m/>
    <n v="360"/>
    <n v="180"/>
    <n v="105"/>
    <n v="180"/>
    <n v="165"/>
  </r>
  <r>
    <n v="2917"/>
    <s v="02"/>
    <s v="2917021ra"/>
    <s v="1ra"/>
    <m/>
    <n v="360"/>
    <m/>
    <m/>
    <m/>
    <n v="360"/>
    <n v="210"/>
    <n v="120"/>
    <n v="150"/>
    <n v="153"/>
  </r>
  <r>
    <n v="2917"/>
    <s v="11"/>
    <s v="2917111ra"/>
    <s v="1ra"/>
    <m/>
    <n v="600"/>
    <m/>
    <m/>
    <m/>
    <n v="600"/>
    <n v="345"/>
    <n v="240"/>
    <n v="255"/>
    <n v="240"/>
  </r>
  <r>
    <n v="2922"/>
    <s v="02"/>
    <s v="2922021ra"/>
    <s v="1ra"/>
    <m/>
    <n v="300"/>
    <m/>
    <m/>
    <m/>
    <n v="300"/>
    <n v="165"/>
    <n v="75"/>
    <n v="135"/>
    <n v="120"/>
  </r>
  <r>
    <n v="2922"/>
    <s v="05"/>
    <s v="2922051ra"/>
    <s v="1ra"/>
    <m/>
    <n v="600"/>
    <m/>
    <m/>
    <m/>
    <n v="600"/>
    <n v="270"/>
    <n v="165"/>
    <n v="330"/>
    <n v="330"/>
  </r>
  <r>
    <n v="2922"/>
    <s v="15"/>
    <s v="2922151ra"/>
    <s v="1ra"/>
    <m/>
    <n v="360"/>
    <m/>
    <m/>
    <m/>
    <n v="360"/>
    <n v="210"/>
    <n v="120"/>
    <n v="150"/>
    <n v="150"/>
  </r>
  <r>
    <n v="2939"/>
    <s v="02"/>
    <s v="2939021ra"/>
    <s v="1ra"/>
    <m/>
    <n v="315"/>
    <m/>
    <m/>
    <m/>
    <n v="315"/>
    <n v="315"/>
    <n v="225"/>
    <n v="0"/>
    <n v="0"/>
  </r>
  <r>
    <n v="2939"/>
    <s v="05"/>
    <s v="2939051ra"/>
    <s v="1ra"/>
    <m/>
    <n v="510"/>
    <m/>
    <m/>
    <m/>
    <n v="510"/>
    <n v="495"/>
    <n v="375"/>
    <n v="15"/>
    <n v="15"/>
  </r>
  <r>
    <n v="3018"/>
    <s v="02"/>
    <s v="3018021ra"/>
    <s v="1ra"/>
    <m/>
    <n v="300"/>
    <m/>
    <m/>
    <m/>
    <n v="300"/>
    <n v="168"/>
    <n v="84"/>
    <n v="132"/>
    <n v="132"/>
  </r>
  <r>
    <n v="3018"/>
    <s v="23"/>
    <s v="3018231ra"/>
    <s v="1ra"/>
    <m/>
    <n v="336"/>
    <m/>
    <m/>
    <m/>
    <n v="336"/>
    <n v="252"/>
    <n v="168"/>
    <n v="84"/>
    <n v="84"/>
  </r>
  <r>
    <n v="3025"/>
    <s v="02"/>
    <s v="3025021ra"/>
    <s v="1ra"/>
    <m/>
    <n v="480"/>
    <m/>
    <m/>
    <m/>
    <n v="480"/>
    <n v="348"/>
    <n v="264"/>
    <n v="132"/>
    <n v="132"/>
  </r>
  <r>
    <n v="3025"/>
    <s v="20"/>
    <s v="3025201ra"/>
    <s v="1ra"/>
    <m/>
    <n v="336"/>
    <m/>
    <m/>
    <m/>
    <n v="336"/>
    <n v="240"/>
    <n v="132"/>
    <n v="96"/>
    <n v="96"/>
  </r>
  <r>
    <n v="3025"/>
    <s v="22"/>
    <s v="3025221ra"/>
    <s v="1ra"/>
    <m/>
    <n v="144"/>
    <m/>
    <m/>
    <m/>
    <n v="144"/>
    <n v="84"/>
    <n v="36"/>
    <n v="60"/>
    <n v="60"/>
  </r>
  <r>
    <n v="3040"/>
    <s v="02"/>
    <s v="3040021ra"/>
    <s v="1ra"/>
    <m/>
    <n v="204"/>
    <m/>
    <m/>
    <m/>
    <n v="204"/>
    <n v="132"/>
    <n v="96"/>
    <n v="72"/>
    <n v="72"/>
  </r>
  <r>
    <n v="3040"/>
    <s v="21"/>
    <s v="3040211ra"/>
    <s v="1ra"/>
    <m/>
    <n v="180"/>
    <m/>
    <m/>
    <m/>
    <n v="180"/>
    <n v="168"/>
    <n v="108"/>
    <n v="12"/>
    <n v="12"/>
  </r>
  <r>
    <n v="3040"/>
    <s v="23"/>
    <s v="3040231ra"/>
    <s v="1ra"/>
    <m/>
    <n v="120"/>
    <m/>
    <m/>
    <m/>
    <n v="120"/>
    <n v="108"/>
    <n v="72"/>
    <n v="12"/>
    <n v="12"/>
  </r>
  <r>
    <n v="3044"/>
    <s v="01"/>
    <s v="3044011ra"/>
    <s v="1ra"/>
    <m/>
    <n v="192"/>
    <m/>
    <m/>
    <m/>
    <n v="192"/>
    <n v="196"/>
    <n v="124"/>
    <n v="-4"/>
    <n v="0"/>
  </r>
  <r>
    <n v="3044"/>
    <s v="02"/>
    <s v="3044021ra"/>
    <s v="1ra"/>
    <m/>
    <n v="600"/>
    <m/>
    <m/>
    <m/>
    <n v="600"/>
    <n v="450"/>
    <n v="354"/>
    <n v="150"/>
    <n v="162"/>
  </r>
  <r>
    <n v="3044"/>
    <s v="09"/>
    <s v="3044091ra"/>
    <s v="1ra"/>
    <m/>
    <n v="312"/>
    <m/>
    <m/>
    <m/>
    <n v="312"/>
    <n v="228"/>
    <n v="180"/>
    <n v="84"/>
    <n v="84"/>
  </r>
  <r>
    <n v="3044"/>
    <s v="15"/>
    <s v="3044151ra"/>
    <s v="1ra"/>
    <m/>
    <n v="72"/>
    <m/>
    <m/>
    <m/>
    <n v="72"/>
    <n v="72"/>
    <n v="36"/>
    <n v="0"/>
    <n v="0"/>
  </r>
  <r>
    <n v="3112"/>
    <s v="02"/>
    <s v="3112021ra"/>
    <s v="1ra"/>
    <m/>
    <n v="288"/>
    <m/>
    <m/>
    <m/>
    <n v="288"/>
    <n v="168"/>
    <n v="120"/>
    <n v="120"/>
    <n v="120"/>
  </r>
  <r>
    <n v="3112"/>
    <s v="21"/>
    <s v="3112211ra"/>
    <s v="1ra"/>
    <m/>
    <n v="240"/>
    <m/>
    <m/>
    <m/>
    <n v="240"/>
    <n v="156"/>
    <n v="108"/>
    <n v="84"/>
    <n v="84"/>
  </r>
  <r>
    <n v="3112"/>
    <s v="23"/>
    <s v="3112231ra"/>
    <s v="1ra"/>
    <m/>
    <n v="192"/>
    <m/>
    <m/>
    <m/>
    <n v="192"/>
    <n v="204"/>
    <n v="120"/>
    <n v="-12"/>
    <n v="0"/>
  </r>
  <r>
    <n v="3113"/>
    <s v="02"/>
    <s v="3113021ra"/>
    <s v="1ra"/>
    <m/>
    <n v="360"/>
    <m/>
    <m/>
    <m/>
    <n v="360"/>
    <n v="377"/>
    <n v="293"/>
    <n v="-17"/>
    <n v="0"/>
  </r>
  <r>
    <n v="3113"/>
    <s v="06"/>
    <s v="3113061ra"/>
    <s v="1ra"/>
    <m/>
    <n v="360"/>
    <m/>
    <m/>
    <m/>
    <n v="360"/>
    <n v="282"/>
    <n v="198"/>
    <n v="78"/>
    <n v="78"/>
  </r>
  <r>
    <n v="3133"/>
    <s v="01"/>
    <s v="3133011ra"/>
    <s v="1ra"/>
    <m/>
    <n v="360"/>
    <m/>
    <m/>
    <m/>
    <n v="360"/>
    <n v="204"/>
    <n v="108"/>
    <n v="156"/>
    <n v="156"/>
  </r>
  <r>
    <n v="3140"/>
    <s v="02"/>
    <s v="3140021ra"/>
    <s v="1ra"/>
    <m/>
    <n v="420"/>
    <m/>
    <m/>
    <m/>
    <n v="420"/>
    <n v="288"/>
    <n v="180"/>
    <n v="132"/>
    <n v="132"/>
  </r>
  <r>
    <n v="3140"/>
    <s v="21"/>
    <s v="3140211ra"/>
    <s v="1ra"/>
    <m/>
    <n v="84"/>
    <m/>
    <m/>
    <m/>
    <n v="84"/>
    <n v="108"/>
    <n v="24"/>
    <n v="-24"/>
    <n v="0"/>
  </r>
  <r>
    <n v="3140"/>
    <s v="23"/>
    <s v="3140231ra"/>
    <s v="1ra"/>
    <m/>
    <n v="216"/>
    <m/>
    <m/>
    <m/>
    <n v="216"/>
    <n v="132"/>
    <n v="48"/>
    <n v="84"/>
    <n v="72"/>
  </r>
  <r>
    <n v="3141"/>
    <s v="02"/>
    <s v="3141021ra"/>
    <s v="1ra"/>
    <m/>
    <n v="312"/>
    <m/>
    <m/>
    <m/>
    <n v="312"/>
    <n v="204"/>
    <n v="108"/>
    <n v="108"/>
    <n v="108"/>
  </r>
  <r>
    <n v="3141"/>
    <s v="21"/>
    <s v="3141211ra"/>
    <s v="1ra"/>
    <m/>
    <n v="336"/>
    <m/>
    <m/>
    <m/>
    <n v="336"/>
    <n v="216"/>
    <n v="120"/>
    <n v="120"/>
    <n v="108"/>
  </r>
  <r>
    <n v="3141"/>
    <s v="23"/>
    <s v="3141231ra"/>
    <s v="1ra"/>
    <m/>
    <n v="168"/>
    <m/>
    <m/>
    <m/>
    <n v="168"/>
    <n v="120"/>
    <n v="12"/>
    <n v="48"/>
    <n v="48"/>
  </r>
  <r>
    <n v="3144"/>
    <s v="02"/>
    <s v="3144021ra"/>
    <s v="1ra"/>
    <m/>
    <n v="312"/>
    <m/>
    <m/>
    <m/>
    <n v="312"/>
    <n v="240"/>
    <n v="144"/>
    <n v="72"/>
    <n v="72"/>
  </r>
  <r>
    <n v="3144"/>
    <s v="21"/>
    <s v="3144211ra"/>
    <s v="1ra"/>
    <m/>
    <n v="240"/>
    <m/>
    <m/>
    <m/>
    <n v="240"/>
    <n v="276"/>
    <n v="120"/>
    <n v="-36"/>
    <n v="0"/>
  </r>
  <r>
    <n v="3144"/>
    <s v="23"/>
    <s v="3144231ra"/>
    <s v="1ra"/>
    <m/>
    <n v="288"/>
    <m/>
    <m/>
    <m/>
    <n v="288"/>
    <n v="192"/>
    <n v="96"/>
    <n v="96"/>
    <n v="96"/>
  </r>
  <r>
    <n v="3146"/>
    <s v="01"/>
    <s v="3146011ra"/>
    <s v="1ra"/>
    <m/>
    <n v="312"/>
    <m/>
    <m/>
    <m/>
    <n v="312"/>
    <n v="216"/>
    <n v="108"/>
    <n v="96"/>
    <n v="96"/>
  </r>
  <r>
    <n v="3146"/>
    <s v="02"/>
    <s v="3146021ra"/>
    <s v="1ra"/>
    <m/>
    <n v="672"/>
    <m/>
    <m/>
    <m/>
    <n v="672"/>
    <n v="504"/>
    <n v="372"/>
    <n v="168"/>
    <n v="156"/>
  </r>
  <r>
    <n v="3146"/>
    <s v="21"/>
    <s v="3146211ra"/>
    <s v="1ra"/>
    <m/>
    <n v="192"/>
    <m/>
    <m/>
    <m/>
    <n v="192"/>
    <n v="180"/>
    <n v="108"/>
    <n v="12"/>
    <n v="12"/>
  </r>
  <r>
    <n v="3147"/>
    <s v="02"/>
    <s v="3147021ra"/>
    <s v="1ra"/>
    <m/>
    <n v="360"/>
    <m/>
    <m/>
    <m/>
    <n v="360"/>
    <n v="288"/>
    <n v="168"/>
    <n v="72"/>
    <n v="72"/>
  </r>
  <r>
    <n v="3147"/>
    <s v="03"/>
    <s v="3147031ra"/>
    <s v="1ra"/>
    <m/>
    <n v="360"/>
    <m/>
    <m/>
    <m/>
    <n v="360"/>
    <n v="216"/>
    <n v="108"/>
    <n v="144"/>
    <n v="144"/>
  </r>
  <r>
    <n v="3154"/>
    <s v="02"/>
    <s v="3154021ra"/>
    <s v="1ra"/>
    <m/>
    <n v="420"/>
    <m/>
    <m/>
    <m/>
    <n v="420"/>
    <n v="216"/>
    <n v="108"/>
    <n v="204"/>
    <n v="204"/>
  </r>
  <r>
    <n v="3154"/>
    <s v="08"/>
    <s v="3154081ra"/>
    <s v="1ra"/>
    <m/>
    <n v="300"/>
    <m/>
    <m/>
    <m/>
    <n v="300"/>
    <n v="192"/>
    <n v="84"/>
    <n v="108"/>
    <n v="108"/>
  </r>
  <r>
    <n v="3203"/>
    <s v="02"/>
    <s v="3203021ra"/>
    <s v="1ra"/>
    <m/>
    <n v="450"/>
    <m/>
    <m/>
    <m/>
    <n v="450"/>
    <n v="300"/>
    <n v="165"/>
    <n v="150"/>
    <n v="165"/>
  </r>
  <r>
    <n v="3203"/>
    <s v="04"/>
    <s v="3203041ra"/>
    <s v="1ra"/>
    <m/>
    <n v="360"/>
    <m/>
    <m/>
    <m/>
    <n v="360"/>
    <n v="225"/>
    <n v="105"/>
    <n v="135"/>
    <n v="135"/>
  </r>
  <r>
    <n v="3203"/>
    <s v="06"/>
    <s v="3203061ra"/>
    <s v="1ra"/>
    <m/>
    <n v="180"/>
    <m/>
    <m/>
    <m/>
    <n v="180"/>
    <n v="120"/>
    <n v="30"/>
    <n v="60"/>
    <n v="60"/>
  </r>
  <r>
    <n v="3209"/>
    <s v="02"/>
    <s v="3209021ra"/>
    <s v="1ra"/>
    <m/>
    <n v="675"/>
    <m/>
    <m/>
    <m/>
    <n v="675"/>
    <n v="450"/>
    <n v="345"/>
    <n v="225"/>
    <n v="225"/>
  </r>
  <r>
    <n v="3209"/>
    <s v="05"/>
    <s v="3209051ra"/>
    <s v="1ra"/>
    <m/>
    <n v="150"/>
    <m/>
    <m/>
    <m/>
    <n v="150"/>
    <n v="105"/>
    <n v="45"/>
    <n v="45"/>
    <n v="45"/>
  </r>
  <r>
    <n v="3500"/>
    <s v="01"/>
    <s v="3500011ra"/>
    <s v="1ra"/>
    <m/>
    <n v="600"/>
    <m/>
    <m/>
    <m/>
    <n v="600"/>
    <n v="345"/>
    <n v="240"/>
    <n v="255"/>
    <n v="255"/>
  </r>
  <r>
    <n v="3500"/>
    <s v="02"/>
    <s v="3500021ra"/>
    <s v="1ra"/>
    <m/>
    <n v="750"/>
    <m/>
    <m/>
    <m/>
    <n v="750"/>
    <n v="675"/>
    <n v="525"/>
    <n v="75"/>
    <n v="75"/>
  </r>
  <r>
    <n v="3500"/>
    <s v="23"/>
    <s v="3500231ra"/>
    <s v="1ra"/>
    <m/>
    <n v="690"/>
    <m/>
    <m/>
    <m/>
    <n v="690"/>
    <n v="585"/>
    <n v="435"/>
    <n v="105"/>
    <n v="105"/>
  </r>
  <r>
    <n v="3503"/>
    <s v="01"/>
    <s v="3503011ra"/>
    <s v="1ra"/>
    <m/>
    <n v="510"/>
    <m/>
    <m/>
    <m/>
    <n v="510"/>
    <n v="300"/>
    <n v="180"/>
    <n v="210"/>
    <n v="210"/>
  </r>
  <r>
    <n v="3503"/>
    <s v="02"/>
    <s v="3503021ra"/>
    <s v="1ra"/>
    <m/>
    <n v="660"/>
    <m/>
    <m/>
    <m/>
    <n v="660"/>
    <n v="450"/>
    <n v="300"/>
    <n v="210"/>
    <n v="225"/>
  </r>
  <r>
    <n v="3503"/>
    <s v="23"/>
    <s v="3503231ra"/>
    <s v="1ra"/>
    <m/>
    <n v="315"/>
    <m/>
    <m/>
    <m/>
    <n v="315"/>
    <n v="255"/>
    <n v="120"/>
    <n v="60"/>
    <n v="60"/>
  </r>
  <r>
    <n v="3511"/>
    <s v="00"/>
    <s v="3511001ra"/>
    <s v="1ra"/>
    <m/>
    <n v="432"/>
    <m/>
    <m/>
    <m/>
    <n v="432"/>
    <n v="324"/>
    <n v="204"/>
    <n v="108"/>
    <n v="108"/>
  </r>
  <r>
    <n v="3511"/>
    <s v="02"/>
    <s v="3511021ra"/>
    <s v="1ra"/>
    <m/>
    <n v="552"/>
    <m/>
    <m/>
    <m/>
    <n v="552"/>
    <n v="456"/>
    <n v="336"/>
    <n v="96"/>
    <n v="96"/>
  </r>
  <r>
    <n v="3511"/>
    <s v="05"/>
    <s v="3511051ra"/>
    <s v="1ra"/>
    <m/>
    <n v="240"/>
    <m/>
    <m/>
    <m/>
    <n v="240"/>
    <n v="180"/>
    <n v="60"/>
    <n v="60"/>
    <n v="60"/>
  </r>
  <r>
    <n v="3513"/>
    <s v="02"/>
    <s v="3513021ra"/>
    <s v="1ra"/>
    <m/>
    <n v="345"/>
    <m/>
    <m/>
    <m/>
    <n v="345"/>
    <n v="255"/>
    <n v="180"/>
    <n v="90"/>
    <n v="90"/>
  </r>
  <r>
    <n v="3513"/>
    <s v="11"/>
    <s v="3513111ra"/>
    <s v="1ra"/>
    <m/>
    <n v="255"/>
    <m/>
    <m/>
    <m/>
    <n v="255"/>
    <n v="180"/>
    <n v="135"/>
    <n v="75"/>
    <n v="75"/>
  </r>
  <r>
    <n v="3514"/>
    <s v="02"/>
    <s v="3514021ra"/>
    <s v="1ra"/>
    <m/>
    <n v="1005"/>
    <m/>
    <m/>
    <m/>
    <n v="1005"/>
    <n v="666"/>
    <n v="366"/>
    <n v="339"/>
    <n v="339"/>
  </r>
  <r>
    <n v="3514"/>
    <s v="21"/>
    <s v="3514211ra"/>
    <s v="1ra"/>
    <m/>
    <n v="870"/>
    <m/>
    <m/>
    <m/>
    <n v="870"/>
    <n v="585"/>
    <n v="390"/>
    <n v="285"/>
    <n v="270"/>
  </r>
  <r>
    <n v="3514"/>
    <s v="23"/>
    <s v="3514231ra"/>
    <s v="1ra"/>
    <m/>
    <n v="540"/>
    <m/>
    <m/>
    <m/>
    <n v="540"/>
    <n v="300"/>
    <n v="135"/>
    <n v="240"/>
    <n v="240"/>
  </r>
  <r>
    <n v="3517"/>
    <s v="02"/>
    <s v="3517021ra"/>
    <s v="1ra"/>
    <m/>
    <n v="690"/>
    <m/>
    <m/>
    <m/>
    <n v="690"/>
    <n v="510"/>
    <n v="345"/>
    <n v="180"/>
    <n v="180"/>
  </r>
  <r>
    <n v="3517"/>
    <s v="13"/>
    <s v="3517131ra"/>
    <s v="1ra"/>
    <m/>
    <n v="720"/>
    <m/>
    <m/>
    <m/>
    <n v="720"/>
    <n v="555"/>
    <n v="405"/>
    <n v="165"/>
    <n v="180"/>
  </r>
  <r>
    <n v="3520"/>
    <s v="01"/>
    <s v="3520011ra"/>
    <s v="1ra"/>
    <m/>
    <n v="600"/>
    <m/>
    <m/>
    <m/>
    <n v="600"/>
    <n v="255"/>
    <n v="150"/>
    <n v="345"/>
    <n v="375"/>
  </r>
  <r>
    <n v="3520"/>
    <s v="02"/>
    <s v="3520021ra"/>
    <s v="1ra"/>
    <m/>
    <n v="975"/>
    <m/>
    <m/>
    <m/>
    <n v="975"/>
    <n v="420"/>
    <n v="300"/>
    <n v="555"/>
    <n v="600"/>
  </r>
  <r>
    <n v="3523"/>
    <s v="02"/>
    <s v="3523021ra"/>
    <s v="1ra"/>
    <m/>
    <n v="360"/>
    <m/>
    <m/>
    <m/>
    <n v="360"/>
    <n v="156"/>
    <n v="48"/>
    <n v="204"/>
    <n v="204"/>
  </r>
  <r>
    <n v="3524"/>
    <s v="01"/>
    <s v="3524011ra"/>
    <s v="1ra"/>
    <m/>
    <n v="480"/>
    <m/>
    <m/>
    <m/>
    <n v="480"/>
    <n v="348"/>
    <n v="252"/>
    <n v="132"/>
    <n v="168"/>
  </r>
  <r>
    <n v="3524"/>
    <s v="02"/>
    <s v="3524021ra"/>
    <s v="1ra"/>
    <m/>
    <n v="480"/>
    <m/>
    <m/>
    <m/>
    <n v="480"/>
    <n v="300"/>
    <n v="204"/>
    <n v="180"/>
    <n v="204"/>
  </r>
  <r>
    <n v="3524"/>
    <s v="06"/>
    <s v="3524061ra"/>
    <s v="1ra"/>
    <m/>
    <n v="228"/>
    <m/>
    <m/>
    <m/>
    <n v="228"/>
    <n v="132"/>
    <n v="60"/>
    <n v="96"/>
    <n v="96"/>
  </r>
  <r>
    <n v="3527"/>
    <s v="01"/>
    <s v="3527011ra"/>
    <s v="1ra"/>
    <m/>
    <n v="504"/>
    <m/>
    <m/>
    <m/>
    <n v="504"/>
    <n v="252"/>
    <n v="168"/>
    <n v="252"/>
    <n v="252"/>
  </r>
  <r>
    <n v="3527"/>
    <s v="02"/>
    <s v="3527021ra"/>
    <s v="1ra"/>
    <m/>
    <n v="636"/>
    <m/>
    <m/>
    <m/>
    <n v="636"/>
    <n v="468"/>
    <n v="348"/>
    <n v="168"/>
    <n v="168"/>
  </r>
  <r>
    <n v="3530"/>
    <s v="01"/>
    <s v="3530011ra"/>
    <s v="1ra"/>
    <m/>
    <n v="960"/>
    <m/>
    <m/>
    <m/>
    <n v="960"/>
    <n v="960"/>
    <n v="630"/>
    <n v="0"/>
    <n v="15"/>
  </r>
  <r>
    <n v="3530"/>
    <s v="02"/>
    <s v="3530021ra"/>
    <s v="1ra"/>
    <m/>
    <n v="1440"/>
    <n v="510"/>
    <m/>
    <m/>
    <n v="1950"/>
    <n v="1440"/>
    <n v="1020"/>
    <n v="510"/>
    <n v="540"/>
  </r>
  <r>
    <n v="4016"/>
    <s v="01"/>
    <s v="4016011ra"/>
    <s v="1ra"/>
    <m/>
    <n v="285"/>
    <m/>
    <m/>
    <m/>
    <n v="285"/>
    <n v="405"/>
    <n v="255"/>
    <n v="-120"/>
    <n v="0"/>
  </r>
  <r>
    <n v="4016"/>
    <s v="02"/>
    <s v="4016021ra"/>
    <s v="1ra"/>
    <m/>
    <n v="1005"/>
    <m/>
    <m/>
    <m/>
    <n v="1005"/>
    <n v="840"/>
    <n v="690"/>
    <n v="165"/>
    <n v="195"/>
  </r>
  <r>
    <n v="4016"/>
    <s v="04"/>
    <s v="4016041ra"/>
    <s v="1ra"/>
    <m/>
    <n v="825"/>
    <m/>
    <m/>
    <m/>
    <n v="825"/>
    <n v="675"/>
    <n v="525"/>
    <n v="150"/>
    <n v="165"/>
  </r>
  <r>
    <n v="4016"/>
    <s v="08"/>
    <s v="4016081ra"/>
    <s v="1ra"/>
    <m/>
    <n v="480"/>
    <m/>
    <m/>
    <m/>
    <n v="480"/>
    <n v="510"/>
    <n v="240"/>
    <n v="-30"/>
    <n v="0"/>
  </r>
  <r>
    <n v="4058"/>
    <s v="02"/>
    <s v="4058021ra"/>
    <s v="1ra"/>
    <m/>
    <n v="360"/>
    <m/>
    <m/>
    <m/>
    <n v="360"/>
    <n v="180"/>
    <n v="90"/>
    <n v="180"/>
    <n v="180"/>
  </r>
  <r>
    <n v="4058"/>
    <s v="23"/>
    <s v="4058231ra"/>
    <s v="1ra"/>
    <m/>
    <n v="240"/>
    <m/>
    <m/>
    <m/>
    <n v="240"/>
    <n v="105"/>
    <n v="15"/>
    <n v="135"/>
    <n v="135"/>
  </r>
  <r>
    <n v="4154"/>
    <s v="02"/>
    <s v="4154021ra"/>
    <s v="1ra"/>
    <m/>
    <n v="1200"/>
    <m/>
    <m/>
    <m/>
    <n v="1200"/>
    <n v="645"/>
    <n v="300"/>
    <n v="555"/>
    <n v="555"/>
  </r>
  <r>
    <n v="4154"/>
    <s v="05"/>
    <s v="4154051ra"/>
    <s v="1ra"/>
    <m/>
    <n v="900"/>
    <m/>
    <m/>
    <m/>
    <n v="900"/>
    <n v="585"/>
    <n v="300"/>
    <n v="315"/>
    <n v="315"/>
  </r>
  <r>
    <n v="4157"/>
    <s v="02"/>
    <s v="4157021ra"/>
    <s v="1ra"/>
    <m/>
    <n v="1200"/>
    <m/>
    <m/>
    <m/>
    <n v="1200"/>
    <n v="915"/>
    <n v="630"/>
    <n v="285"/>
    <n v="285"/>
  </r>
  <r>
    <n v="4157"/>
    <s v="05"/>
    <s v="4157051ra"/>
    <s v="1ra"/>
    <m/>
    <n v="510"/>
    <m/>
    <m/>
    <m/>
    <n v="510"/>
    <n v="330"/>
    <n v="195"/>
    <n v="180"/>
    <n v="180"/>
  </r>
  <r>
    <n v="4157"/>
    <s v="06"/>
    <s v="4157061ra"/>
    <s v="1ra"/>
    <m/>
    <n v="795"/>
    <m/>
    <m/>
    <m/>
    <n v="795"/>
    <n v="450"/>
    <n v="255"/>
    <n v="345"/>
    <n v="345"/>
  </r>
  <r>
    <n v="5855"/>
    <s v="05"/>
    <s v="5855051ra"/>
    <s v="1ra"/>
    <m/>
    <n v="300"/>
    <m/>
    <m/>
    <m/>
    <n v="300"/>
    <n v="90"/>
    <n v="90"/>
    <n v="210"/>
    <n v="210"/>
  </r>
  <r>
    <n v="5855"/>
    <s v="07"/>
    <s v="5855071ra"/>
    <s v="1ra"/>
    <m/>
    <n v="300"/>
    <m/>
    <m/>
    <m/>
    <n v="300"/>
    <n v="165"/>
    <n v="90"/>
    <n v="135"/>
    <n v="135"/>
  </r>
  <r>
    <n v="5855"/>
    <s v="20"/>
    <s v="5855201ra"/>
    <s v="1ra"/>
    <m/>
    <n v="450"/>
    <m/>
    <m/>
    <m/>
    <n v="450"/>
    <n v="306"/>
    <n v="216"/>
    <n v="144"/>
    <n v="129"/>
  </r>
  <r>
    <n v="5856"/>
    <s v="05"/>
    <s v="5856051ra"/>
    <s v="1ra"/>
    <m/>
    <n v="840"/>
    <m/>
    <m/>
    <m/>
    <n v="840"/>
    <n v="645"/>
    <n v="435"/>
    <n v="195"/>
    <n v="195"/>
  </r>
  <r>
    <n v="5856"/>
    <s v="08"/>
    <s v="5856081ra"/>
    <s v="1ra"/>
    <m/>
    <n v="990"/>
    <m/>
    <m/>
    <m/>
    <n v="990"/>
    <n v="810"/>
    <n v="555"/>
    <n v="180"/>
    <n v="180"/>
  </r>
  <r>
    <n v="5856"/>
    <s v="20"/>
    <s v="5856201ra"/>
    <s v="1ra"/>
    <m/>
    <n v="1335"/>
    <m/>
    <m/>
    <m/>
    <n v="1335"/>
    <n v="996"/>
    <n v="741"/>
    <n v="339"/>
    <n v="339"/>
  </r>
  <r>
    <n v="5861"/>
    <s v="05"/>
    <s v="5861051ra"/>
    <s v="1ra"/>
    <m/>
    <n v="300"/>
    <m/>
    <m/>
    <m/>
    <n v="300"/>
    <n v="300"/>
    <n v="180"/>
    <n v="0"/>
    <n v="0"/>
  </r>
  <r>
    <n v="5861"/>
    <s v="11"/>
    <s v="5861111ra"/>
    <s v="1ra"/>
    <m/>
    <n v="300"/>
    <m/>
    <m/>
    <m/>
    <n v="300"/>
    <n v="240"/>
    <n v="120"/>
    <n v="60"/>
    <n v="60"/>
  </r>
  <r>
    <n v="5863"/>
    <s v="02"/>
    <s v="5863021ra"/>
    <s v="1ra"/>
    <m/>
    <n v="375"/>
    <m/>
    <m/>
    <m/>
    <n v="375"/>
    <n v="360"/>
    <n v="255"/>
    <n v="15"/>
    <n v="15"/>
  </r>
  <r>
    <n v="5863"/>
    <s v="05"/>
    <s v="5863051ra"/>
    <s v="1ra"/>
    <m/>
    <n v="315"/>
    <m/>
    <m/>
    <m/>
    <n v="315"/>
    <n v="330"/>
    <n v="210"/>
    <n v="-15"/>
    <n v="0"/>
  </r>
  <r>
    <n v="5863"/>
    <s v="11"/>
    <s v="5863111ra"/>
    <s v="1ra"/>
    <m/>
    <n v="165"/>
    <m/>
    <m/>
    <m/>
    <n v="165"/>
    <n v="165"/>
    <n v="60"/>
    <n v="0"/>
    <n v="0"/>
  </r>
  <r>
    <n v="5863"/>
    <s v="20"/>
    <s v="5863201ra"/>
    <s v="1ra"/>
    <m/>
    <n v="270"/>
    <m/>
    <m/>
    <m/>
    <n v="270"/>
    <n v="285"/>
    <n v="180"/>
    <n v="-15"/>
    <n v="0"/>
  </r>
  <r>
    <n v="5866"/>
    <s v="02"/>
    <s v="5866021ra"/>
    <s v="1ra"/>
    <m/>
    <n v="420"/>
    <m/>
    <m/>
    <m/>
    <n v="420"/>
    <n v="375"/>
    <n v="255"/>
    <n v="45"/>
    <n v="45"/>
  </r>
  <r>
    <n v="5866"/>
    <s v="05"/>
    <s v="5866051ra"/>
    <s v="1ra"/>
    <m/>
    <n v="375"/>
    <m/>
    <m/>
    <m/>
    <n v="375"/>
    <n v="360"/>
    <n v="255"/>
    <n v="15"/>
    <n v="15"/>
  </r>
  <r>
    <n v="5874"/>
    <s v="01"/>
    <s v="5874011ra"/>
    <s v="1ra"/>
    <m/>
    <n v="450"/>
    <m/>
    <m/>
    <m/>
    <n v="450"/>
    <n v="435"/>
    <n v="315"/>
    <n v="15"/>
    <n v="15"/>
  </r>
  <r>
    <n v="5874"/>
    <s v="02"/>
    <s v="5874021ra"/>
    <s v="1ra"/>
    <m/>
    <n v="360"/>
    <m/>
    <m/>
    <m/>
    <n v="360"/>
    <n v="210"/>
    <n v="120"/>
    <n v="150"/>
    <n v="165"/>
  </r>
  <r>
    <n v="5874"/>
    <s v="11"/>
    <s v="5874111ra"/>
    <s v="1ra"/>
    <m/>
    <n v="450"/>
    <m/>
    <m/>
    <m/>
    <n v="450"/>
    <n v="225"/>
    <n v="135"/>
    <n v="225"/>
    <n v="225"/>
  </r>
  <r>
    <n v="5876"/>
    <s v="01"/>
    <s v="5876011ra"/>
    <s v="1ra"/>
    <m/>
    <n v="420"/>
    <m/>
    <m/>
    <m/>
    <n v="420"/>
    <n v="480"/>
    <n v="300"/>
    <n v="-60"/>
    <n v="0"/>
  </r>
  <r>
    <n v="5876"/>
    <s v="02"/>
    <s v="5876021ra"/>
    <s v="1ra"/>
    <m/>
    <n v="855"/>
    <m/>
    <m/>
    <m/>
    <n v="855"/>
    <n v="885"/>
    <n v="705"/>
    <n v="-30"/>
    <n v="0"/>
  </r>
  <r>
    <n v="5876"/>
    <s v="06"/>
    <s v="5876061ra"/>
    <s v="1ra"/>
    <m/>
    <n v="600"/>
    <m/>
    <m/>
    <m/>
    <n v="600"/>
    <n v="576"/>
    <n v="411"/>
    <n v="24"/>
    <n v="24"/>
  </r>
  <r>
    <n v="5877"/>
    <s v="01"/>
    <s v="5877011ra"/>
    <s v="1ra"/>
    <m/>
    <n v="360"/>
    <m/>
    <m/>
    <m/>
    <n v="360"/>
    <n v="255"/>
    <n v="135"/>
    <n v="105"/>
    <n v="105"/>
  </r>
  <r>
    <n v="5877"/>
    <s v="02"/>
    <s v="5877021ra"/>
    <s v="1ra"/>
    <m/>
    <n v="450"/>
    <m/>
    <m/>
    <m/>
    <n v="450"/>
    <n v="255"/>
    <n v="135"/>
    <n v="195"/>
    <n v="195"/>
  </r>
  <r>
    <n v="5877"/>
    <s v="15"/>
    <s v="5877151ra"/>
    <s v="1ra"/>
    <m/>
    <n v="360"/>
    <m/>
    <m/>
    <m/>
    <n v="360"/>
    <n v="180"/>
    <n v="75"/>
    <n v="180"/>
    <n v="180"/>
  </r>
  <r>
    <n v="5880"/>
    <s v="01"/>
    <s v="5880011ra"/>
    <s v="1ra"/>
    <m/>
    <n v="360"/>
    <m/>
    <m/>
    <m/>
    <n v="360"/>
    <n v="390"/>
    <n v="270"/>
    <n v="-30"/>
    <n v="0"/>
  </r>
  <r>
    <n v="5880"/>
    <s v="02"/>
    <s v="5880021ra"/>
    <s v="1ra"/>
    <m/>
    <n v="570"/>
    <m/>
    <m/>
    <m/>
    <n v="570"/>
    <n v="555"/>
    <n v="405"/>
    <n v="15"/>
    <n v="30"/>
  </r>
  <r>
    <n v="5880"/>
    <s v="05"/>
    <s v="5880051ra"/>
    <s v="1ra"/>
    <m/>
    <n v="300"/>
    <m/>
    <m/>
    <m/>
    <n v="300"/>
    <n v="300"/>
    <n v="165"/>
    <n v="0"/>
    <n v="0"/>
  </r>
  <r>
    <n v="5881"/>
    <s v="20"/>
    <s v="5881201ra"/>
    <s v="1ra"/>
    <m/>
    <n v="600"/>
    <m/>
    <m/>
    <m/>
    <n v="600"/>
    <n v="360"/>
    <n v="270"/>
    <n v="240"/>
    <n v="240"/>
  </r>
  <r>
    <n v="5881"/>
    <s v="21"/>
    <s v="5881211ra"/>
    <s v="1ra"/>
    <m/>
    <n v="810"/>
    <m/>
    <m/>
    <m/>
    <n v="810"/>
    <n v="570"/>
    <n v="465"/>
    <n v="240"/>
    <n v="225"/>
  </r>
  <r>
    <n v="5981"/>
    <s v="02"/>
    <s v="5981021ra"/>
    <s v="1ra"/>
    <m/>
    <n v="450"/>
    <m/>
    <m/>
    <m/>
    <n v="450"/>
    <n v="300"/>
    <n v="240"/>
    <n v="150"/>
    <n v="150"/>
  </r>
  <r>
    <n v="5981"/>
    <s v="21"/>
    <s v="5981211ra"/>
    <s v="1ra"/>
    <m/>
    <n v="450"/>
    <m/>
    <m/>
    <m/>
    <n v="450"/>
    <n v="285"/>
    <n v="210"/>
    <n v="165"/>
    <n v="165"/>
  </r>
  <r>
    <n v="6520"/>
    <s v="99"/>
    <s v="6520991ra"/>
    <s v="1ra"/>
    <m/>
    <n v="1008"/>
    <m/>
    <m/>
    <m/>
    <n v="1008"/>
    <n v="648"/>
    <n v="432"/>
    <n v="360"/>
    <n v="360"/>
  </r>
  <r>
    <n v="6521"/>
    <s v="99"/>
    <s v="6521991ra"/>
    <s v="1ra"/>
    <m/>
    <n v="1800"/>
    <m/>
    <m/>
    <m/>
    <n v="1800"/>
    <n v="1224"/>
    <n v="612"/>
    <n v="576"/>
    <n v="576"/>
  </r>
  <r>
    <n v="6522"/>
    <s v="99"/>
    <s v="6522991ra"/>
    <s v="1ra"/>
    <m/>
    <n v="1080"/>
    <m/>
    <m/>
    <m/>
    <n v="1080"/>
    <n v="720"/>
    <n v="360"/>
    <n v="360"/>
    <n v="360"/>
  </r>
  <r>
    <n v="9485"/>
    <s v="02"/>
    <s v="9485021ra"/>
    <s v="1ra"/>
    <m/>
    <n v="180"/>
    <m/>
    <m/>
    <m/>
    <n v="180"/>
    <n v="180"/>
    <n v="90"/>
    <n v="0"/>
    <n v="0"/>
  </r>
  <r>
    <n v="9485"/>
    <s v="08"/>
    <s v="9485081ra"/>
    <s v="1ra"/>
    <m/>
    <n v="540"/>
    <m/>
    <m/>
    <m/>
    <n v="540"/>
    <n v="405"/>
    <n v="285"/>
    <n v="135"/>
    <n v="135"/>
  </r>
  <r>
    <n v="9485"/>
    <s v="16"/>
    <s v="9485161ra"/>
    <s v="1ra"/>
    <m/>
    <n v="285"/>
    <m/>
    <m/>
    <m/>
    <n v="285"/>
    <n v="270"/>
    <n v="165"/>
    <n v="15"/>
    <n v="15"/>
  </r>
  <r>
    <n v="9513"/>
    <s v="03"/>
    <s v="9513031ra"/>
    <s v="1ra"/>
    <m/>
    <n v="405"/>
    <m/>
    <m/>
    <m/>
    <n v="405"/>
    <n v="330"/>
    <n v="210"/>
    <n v="75"/>
    <n v="75"/>
  </r>
  <r>
    <n v="9520"/>
    <s v="03"/>
    <s v="9520031ra"/>
    <s v="1ra"/>
    <m/>
    <n v="300"/>
    <m/>
    <m/>
    <m/>
    <n v="300"/>
    <n v="165"/>
    <n v="60"/>
    <n v="135"/>
    <n v="135"/>
  </r>
  <r>
    <n v="9543"/>
    <s v="03"/>
    <s v="9543031ra"/>
    <s v="1ra"/>
    <m/>
    <n v="510"/>
    <n v="300"/>
    <m/>
    <m/>
    <n v="810"/>
    <n v="555"/>
    <n v="435"/>
    <n v="255"/>
    <n v="255"/>
  </r>
  <r>
    <n v="9543"/>
    <s v="08"/>
    <s v="9543081ra"/>
    <s v="1ra"/>
    <m/>
    <n v="210"/>
    <m/>
    <m/>
    <m/>
    <n v="210"/>
    <n v="135"/>
    <n v="60"/>
    <n v="75"/>
    <n v="75"/>
  </r>
  <r>
    <n v="9551"/>
    <s v="02"/>
    <s v="9551021ra"/>
    <s v="1ra"/>
    <m/>
    <n v="1005"/>
    <m/>
    <m/>
    <m/>
    <n v="1005"/>
    <n v="615"/>
    <n v="435"/>
    <n v="390"/>
    <n v="390"/>
  </r>
  <r>
    <n v="9551"/>
    <s v="08"/>
    <s v="9551081ra"/>
    <s v="1ra"/>
    <m/>
    <n v="600"/>
    <m/>
    <m/>
    <m/>
    <n v="600"/>
    <n v="225"/>
    <n v="135"/>
    <n v="375"/>
    <n v="375"/>
  </r>
  <r>
    <n v="9606"/>
    <s v="05"/>
    <s v="9606051ra"/>
    <s v="1ra"/>
    <m/>
    <n v="525"/>
    <m/>
    <m/>
    <m/>
    <n v="525"/>
    <n v="420"/>
    <n v="330"/>
    <n v="105"/>
    <n v="105"/>
  </r>
  <r>
    <n v="9606"/>
    <s v="08"/>
    <s v="9606081ra"/>
    <s v="1ra"/>
    <m/>
    <n v="615"/>
    <m/>
    <m/>
    <m/>
    <n v="615"/>
    <n v="600"/>
    <n v="450"/>
    <n v="15"/>
    <n v="15"/>
  </r>
  <r>
    <n v="9606"/>
    <s v="20"/>
    <s v="9606201ra"/>
    <s v="1ra"/>
    <m/>
    <n v="300"/>
    <m/>
    <m/>
    <m/>
    <n v="300"/>
    <n v="270"/>
    <n v="180"/>
    <n v="30"/>
    <n v="30"/>
  </r>
  <r>
    <n v="9885"/>
    <s v="02"/>
    <s v="9885022da"/>
    <s v="2da"/>
    <m/>
    <n v="300"/>
    <m/>
    <m/>
    <m/>
    <n v="300"/>
    <n v="315"/>
    <n v="225"/>
    <n v="-15"/>
    <n v="0"/>
  </r>
  <r>
    <n v="9885"/>
    <s v="05"/>
    <s v="9885052da"/>
    <s v="2da"/>
    <m/>
    <n v="540"/>
    <m/>
    <m/>
    <m/>
    <n v="540"/>
    <n v="540"/>
    <n v="390"/>
    <n v="0"/>
    <n v="0"/>
  </r>
  <r>
    <n v="9885"/>
    <s v="11"/>
    <s v="9885112da"/>
    <s v="2da"/>
    <m/>
    <n v="840"/>
    <m/>
    <m/>
    <m/>
    <n v="840"/>
    <n v="780"/>
    <n v="585"/>
    <n v="60"/>
    <n v="60"/>
  </r>
  <r>
    <n v="9920"/>
    <s v="05"/>
    <s v="9920051ra"/>
    <s v="1ra"/>
    <m/>
    <n v="510"/>
    <m/>
    <m/>
    <m/>
    <n v="510"/>
    <n v="540"/>
    <n v="435"/>
    <n v="-30"/>
    <n v="0"/>
  </r>
  <r>
    <n v="9920"/>
    <s v="20"/>
    <s v="9920201ra"/>
    <s v="1ra"/>
    <m/>
    <n v="510"/>
    <m/>
    <m/>
    <m/>
    <n v="510"/>
    <n v="450"/>
    <n v="360"/>
    <n v="60"/>
    <n v="75"/>
  </r>
  <r>
    <n v="9922"/>
    <s v="05"/>
    <s v="9922051ra"/>
    <s v="1ra"/>
    <m/>
    <n v="480"/>
    <m/>
    <m/>
    <m/>
    <n v="480"/>
    <n v="255"/>
    <n v="180"/>
    <n v="225"/>
    <n v="225"/>
  </r>
  <r>
    <n v="9922"/>
    <s v="08"/>
    <s v="9922081ra"/>
    <s v="1ra"/>
    <m/>
    <n v="150"/>
    <m/>
    <m/>
    <m/>
    <n v="150"/>
    <n v="75"/>
    <n v="75"/>
    <n v="75"/>
    <n v="75"/>
  </r>
  <r>
    <n v="9922"/>
    <s v="11"/>
    <s v="9922111ra"/>
    <s v="1ra"/>
    <m/>
    <n v="225"/>
    <m/>
    <m/>
    <m/>
    <n v="225"/>
    <n v="120"/>
    <n v="60"/>
    <n v="105"/>
    <n v="105"/>
  </r>
  <r>
    <n v="9923"/>
    <s v="02"/>
    <s v="9923021ra"/>
    <s v="1ra"/>
    <m/>
    <n v="300"/>
    <m/>
    <m/>
    <m/>
    <n v="300"/>
    <n v="240"/>
    <n v="135"/>
    <n v="60"/>
    <n v="60"/>
  </r>
  <r>
    <n v="9923"/>
    <s v="05"/>
    <s v="9923051ra"/>
    <s v="1ra"/>
    <m/>
    <n v="300"/>
    <m/>
    <m/>
    <m/>
    <n v="300"/>
    <n v="165"/>
    <n v="75"/>
    <n v="135"/>
    <n v="13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">
  <r>
    <n v="2026"/>
    <s v="20"/>
    <s v="2026204ta"/>
    <s v="4ta"/>
    <n v="0"/>
    <n v="0"/>
    <m/>
    <n v="0"/>
    <n v="0"/>
    <s v=""/>
    <n v="0"/>
    <n v="0"/>
    <n v="0"/>
  </r>
  <r>
    <n v="1818"/>
    <s v="01"/>
    <s v="1818011ra"/>
    <s v="1ra"/>
    <m/>
    <n v="0"/>
    <m/>
    <n v="0"/>
    <n v="0"/>
    <s v=""/>
    <n v="0"/>
    <n v="0"/>
    <n v="0"/>
  </r>
  <r>
    <n v="1818"/>
    <s v="05"/>
    <s v="1818051ra"/>
    <s v="1ra"/>
    <m/>
    <n v="615"/>
    <m/>
    <n v="615"/>
    <n v="720"/>
    <n v="585"/>
    <n v="-105"/>
    <n v="0"/>
    <n v="30"/>
  </r>
  <r>
    <n v="1818"/>
    <s v="09"/>
    <s v="1818091ra"/>
    <s v="1ra"/>
    <m/>
    <n v="555"/>
    <m/>
    <n v="555"/>
    <n v="705"/>
    <n v="555"/>
    <n v="-150"/>
    <n v="0"/>
    <n v="0"/>
  </r>
  <r>
    <n v="1819"/>
    <s v="01"/>
    <s v="1819011ra"/>
    <s v="1ra"/>
    <m/>
    <n v="0"/>
    <m/>
    <n v="0"/>
    <n v="0"/>
    <s v=""/>
    <n v="0"/>
    <n v="0"/>
    <n v="0"/>
  </r>
  <r>
    <n v="1819"/>
    <s v="01"/>
    <s v="1819012da"/>
    <s v="2da"/>
    <m/>
    <n v="0"/>
    <m/>
    <n v="0"/>
    <n v="0"/>
    <s v=""/>
    <n v="0"/>
    <n v="0"/>
    <n v="0"/>
  </r>
  <r>
    <n v="1819"/>
    <s v="01"/>
    <s v="1819013ra"/>
    <s v="3ra"/>
    <m/>
    <n v="0"/>
    <m/>
    <n v="0"/>
    <n v="0"/>
    <s v=""/>
    <n v="0"/>
    <n v="0"/>
    <n v="0"/>
  </r>
  <r>
    <n v="1819"/>
    <s v="02"/>
    <s v="1819021ra"/>
    <s v="1ra"/>
    <m/>
    <n v="84"/>
    <m/>
    <n v="84"/>
    <n v="120"/>
    <n v="120"/>
    <n v="-36"/>
    <n v="0"/>
    <n v="36"/>
  </r>
  <r>
    <n v="1819"/>
    <s v="02"/>
    <s v="1819022da"/>
    <s v="2da"/>
    <m/>
    <n v="216"/>
    <m/>
    <n v="216"/>
    <n v="216"/>
    <n v="156"/>
    <n v="0"/>
    <n v="0"/>
    <n v="132"/>
  </r>
  <r>
    <n v="1819"/>
    <s v="02"/>
    <s v="1819023ra"/>
    <s v="3ra"/>
    <m/>
    <n v="204"/>
    <m/>
    <n v="204"/>
    <n v="204"/>
    <n v="132"/>
    <n v="0"/>
    <n v="0"/>
    <n v="144"/>
  </r>
  <r>
    <n v="1819"/>
    <s v="08"/>
    <s v="1819081ra"/>
    <s v="1ra"/>
    <m/>
    <n v="228"/>
    <m/>
    <n v="228"/>
    <n v="264"/>
    <n v="95"/>
    <n v="-36"/>
    <n v="0"/>
    <n v="0"/>
  </r>
  <r>
    <n v="1819"/>
    <s v="08"/>
    <s v="1819082da"/>
    <s v="2da"/>
    <m/>
    <n v="360"/>
    <m/>
    <n v="360"/>
    <n v="360"/>
    <n v="180"/>
    <n v="0"/>
    <n v="0"/>
    <n v="24"/>
  </r>
  <r>
    <n v="1819"/>
    <s v="08"/>
    <s v="1819083ra"/>
    <s v="3ra"/>
    <m/>
    <n v="324"/>
    <m/>
    <n v="324"/>
    <n v="300"/>
    <n v="180"/>
    <n v="24"/>
    <n v="0"/>
    <n v="24"/>
  </r>
  <r>
    <n v="1824"/>
    <s v="02"/>
    <s v="1824021ra"/>
    <s v="1ra"/>
    <m/>
    <n v="600"/>
    <m/>
    <n v="600"/>
    <n v="334"/>
    <n v="195"/>
    <n v="266"/>
    <n v="0"/>
    <n v="405"/>
  </r>
  <r>
    <n v="1824"/>
    <n v="21"/>
    <s v="1824211ra"/>
    <s v="1ra"/>
    <m/>
    <n v="210"/>
    <m/>
    <n v="210"/>
    <n v="75"/>
    <n v="60"/>
    <n v="135"/>
    <n v="0"/>
    <n v="105"/>
  </r>
  <r>
    <n v="2083"/>
    <s v="16"/>
    <s v="2083162da"/>
    <s v="2da"/>
    <n v="0"/>
    <n v="0"/>
    <m/>
    <n v="0"/>
    <n v="0"/>
    <s v=""/>
    <n v="0"/>
    <n v="0"/>
    <n v="0"/>
  </r>
  <r>
    <n v="2084"/>
    <s v="16"/>
    <s v="2084162da"/>
    <s v="2da"/>
    <n v="24"/>
    <n v="0"/>
    <m/>
    <n v="24"/>
    <n v="48"/>
    <s v=""/>
    <n v="-24"/>
    <n v="0"/>
    <n v="0"/>
  </r>
  <r>
    <n v="2903"/>
    <s v="02"/>
    <s v="2903022da"/>
    <s v="2da"/>
    <n v="103"/>
    <n v="0"/>
    <m/>
    <n v="103"/>
    <n v="36"/>
    <n v="75"/>
    <n v="67"/>
    <n v="0"/>
    <n v="0"/>
  </r>
  <r>
    <n v="2920"/>
    <s v="02"/>
    <s v="2920021ra"/>
    <s v="1ra"/>
    <m/>
    <n v="264"/>
    <m/>
    <n v="264"/>
    <n v="228"/>
    <n v="48"/>
    <n v="36"/>
    <n v="0"/>
    <n v="216"/>
  </r>
  <r>
    <n v="2920"/>
    <s v="02"/>
    <s v="2920022da"/>
    <s v="2da"/>
    <m/>
    <n v="390"/>
    <m/>
    <n v="390"/>
    <n v="375"/>
    <n v="60"/>
    <n v="15"/>
    <n v="0"/>
    <n v="330"/>
  </r>
  <r>
    <n v="2920"/>
    <s v="09"/>
    <s v="2920091ra"/>
    <s v="1ra"/>
    <m/>
    <n v="276"/>
    <m/>
    <n v="276"/>
    <n v="276"/>
    <n v="96"/>
    <n v="0"/>
    <n v="0"/>
    <n v="180"/>
  </r>
  <r>
    <n v="2920"/>
    <s v="09"/>
    <s v="2920092da"/>
    <s v="2da"/>
    <m/>
    <n v="510"/>
    <m/>
    <n v="510"/>
    <n v="570"/>
    <n v="135"/>
    <n v="-60"/>
    <n v="0"/>
    <n v="375"/>
  </r>
  <r>
    <n v="2933"/>
    <s v="01"/>
    <s v="2933011ra"/>
    <s v="1ra"/>
    <m/>
    <n v="450"/>
    <m/>
    <n v="450"/>
    <n v="480"/>
    <n v="330"/>
    <n v="-30"/>
    <n v="45"/>
    <n v="75"/>
  </r>
  <r>
    <n v="2933"/>
    <s v="02"/>
    <s v="2933021ra"/>
    <s v="1ra"/>
    <m/>
    <n v="450"/>
    <m/>
    <n v="450"/>
    <n v="525"/>
    <n v="375"/>
    <n v="-75"/>
    <n v="15"/>
    <n v="60"/>
  </r>
  <r>
    <n v="2937"/>
    <s v="01"/>
    <s v="2937011ra"/>
    <s v="1ra"/>
    <m/>
    <n v="192"/>
    <m/>
    <n v="192"/>
    <n v="228"/>
    <n v="168"/>
    <n v="-36"/>
    <n v="0"/>
    <n v="24"/>
  </r>
  <r>
    <n v="2937"/>
    <s v="01"/>
    <s v="2937012da"/>
    <s v="2da"/>
    <m/>
    <n v="255"/>
    <m/>
    <n v="255"/>
    <n v="330"/>
    <n v="210"/>
    <n v="-75"/>
    <n v="0"/>
    <n v="45"/>
  </r>
  <r>
    <n v="2937"/>
    <s v="02"/>
    <s v="2937021ra"/>
    <s v="1ra"/>
    <m/>
    <n v="336"/>
    <m/>
    <n v="336"/>
    <n v="372"/>
    <n v="312"/>
    <n v="-36"/>
    <n v="0"/>
    <n v="24"/>
  </r>
  <r>
    <n v="2937"/>
    <s v="02"/>
    <s v="2937022da"/>
    <s v="2da"/>
    <m/>
    <n v="705"/>
    <m/>
    <n v="705"/>
    <n v="780"/>
    <n v="655"/>
    <n v="-75"/>
    <n v="0"/>
    <n v="45"/>
  </r>
  <r>
    <s v="2965"/>
    <s v="11"/>
    <s v="2965112da"/>
    <s v="2da"/>
    <n v="435"/>
    <n v="0"/>
    <m/>
    <n v="435"/>
    <n v="15"/>
    <n v="300"/>
    <n v="420"/>
    <n v="0"/>
    <n v="135"/>
  </r>
  <r>
    <n v="2989"/>
    <s v="11"/>
    <s v="2989113ra"/>
    <s v="3ra"/>
    <n v="142"/>
    <n v="0"/>
    <m/>
    <n v="142"/>
    <n v="48"/>
    <n v="108"/>
    <n v="94"/>
    <n v="0"/>
    <n v="34"/>
  </r>
  <r>
    <n v="3027"/>
    <s v="20"/>
    <s v="3027201ra"/>
    <s v="1ra"/>
    <n v="30"/>
    <n v="105"/>
    <m/>
    <n v="135"/>
    <n v="124"/>
    <n v="90"/>
    <n v="11"/>
    <n v="45"/>
    <n v="150"/>
  </r>
  <r>
    <n v="3079"/>
    <s v="02"/>
    <s v="3079021ra"/>
    <s v="1ra"/>
    <m/>
    <n v="840"/>
    <m/>
    <n v="840"/>
    <n v="750"/>
    <n v="690"/>
    <n v="90"/>
    <n v="15"/>
    <n v="135"/>
  </r>
  <r>
    <n v="3079"/>
    <s v="03"/>
    <s v="3079031ra"/>
    <s v="1ra"/>
    <m/>
    <n v="360"/>
    <m/>
    <n v="360"/>
    <n v="345"/>
    <n v="300"/>
    <n v="15"/>
    <n v="15"/>
    <n v="45"/>
  </r>
  <r>
    <n v="3097"/>
    <s v="02"/>
    <s v="3097021ra"/>
    <s v="1ra"/>
    <m/>
    <n v="240"/>
    <m/>
    <n v="240"/>
    <n v="285"/>
    <n v="225"/>
    <n v="-45"/>
    <n v="0"/>
    <n v="15"/>
  </r>
  <r>
    <n v="3097"/>
    <s v="20"/>
    <s v="3097201ra"/>
    <s v="1ra"/>
    <m/>
    <n v="360"/>
    <m/>
    <n v="360"/>
    <n v="315"/>
    <n v="285"/>
    <n v="45"/>
    <n v="15"/>
    <n v="60"/>
  </r>
  <r>
    <s v="3105"/>
    <s v="20"/>
    <s v="3105201ra"/>
    <s v="1ra"/>
    <n v="120"/>
    <n v="0"/>
    <m/>
    <n v="120"/>
    <n v="60"/>
    <n v="74"/>
    <n v="60"/>
    <n v="45"/>
    <n v="45"/>
  </r>
  <r>
    <n v="3106"/>
    <s v="02"/>
    <s v="3106021ra"/>
    <s v="1ra"/>
    <m/>
    <n v="444"/>
    <m/>
    <n v="444"/>
    <n v="312"/>
    <n v="276"/>
    <n v="132"/>
    <n v="24"/>
    <n v="144"/>
  </r>
  <r>
    <n v="3106"/>
    <s v="27"/>
    <s v="3106271ra"/>
    <s v="1ra"/>
    <m/>
    <n v="0"/>
    <m/>
    <n v="0"/>
    <n v="0"/>
    <s v=""/>
    <n v="0"/>
    <n v="0"/>
    <n v="0"/>
  </r>
  <r>
    <n v="3392"/>
    <s v="20"/>
    <s v="3392201ra"/>
    <s v="1ra"/>
    <n v="195"/>
    <n v="0"/>
    <m/>
    <n v="195"/>
    <n v="30"/>
    <n v="30"/>
    <n v="165"/>
    <n v="45"/>
    <n v="75"/>
  </r>
  <r>
    <s v="4019"/>
    <s v="23"/>
    <s v="4019231ra"/>
    <s v="1ra"/>
    <n v="165"/>
    <n v="0"/>
    <m/>
    <n v="165"/>
    <n v="60"/>
    <n v="75"/>
    <n v="105"/>
    <n v="120"/>
    <n v="15"/>
  </r>
  <r>
    <n v="4180"/>
    <s v="16"/>
    <s v="4180161ra"/>
    <s v="1ra"/>
    <n v="60"/>
    <n v="0"/>
    <m/>
    <n v="60"/>
    <n v="60"/>
    <n v="60"/>
    <n v="0"/>
    <n v="15"/>
    <n v="0"/>
  </r>
  <r>
    <n v="4402"/>
    <s v="02"/>
    <s v="4402021ra"/>
    <s v="1ra"/>
    <m/>
    <n v="300"/>
    <m/>
    <n v="300"/>
    <n v="240"/>
    <n v="216"/>
    <n v="60"/>
    <n v="0"/>
    <n v="84"/>
  </r>
  <r>
    <n v="4402"/>
    <s v="20"/>
    <s v="4402201ra"/>
    <s v="1ra"/>
    <m/>
    <n v="216"/>
    <m/>
    <n v="216"/>
    <n v="84"/>
    <n v="72"/>
    <n v="132"/>
    <n v="0"/>
    <n v="144"/>
  </r>
  <r>
    <n v="4402"/>
    <s v="22"/>
    <s v="4402221ra"/>
    <s v="1ra"/>
    <m/>
    <n v="0"/>
    <m/>
    <n v="0"/>
    <n v="0"/>
    <s v=""/>
    <n v="0"/>
    <n v="0"/>
    <n v="0"/>
  </r>
  <r>
    <n v="4421"/>
    <s v="02"/>
    <s v="4421021ra"/>
    <s v="1ra"/>
    <m/>
    <n v="840"/>
    <m/>
    <n v="840"/>
    <n v="750"/>
    <n v="615"/>
    <n v="90"/>
    <n v="0"/>
    <n v="225"/>
  </r>
  <r>
    <n v="4421"/>
    <s v="16"/>
    <s v="4421161ra"/>
    <s v="1ra"/>
    <m/>
    <n v="585"/>
    <m/>
    <n v="585"/>
    <n v="510"/>
    <n v="435"/>
    <n v="75"/>
    <n v="0"/>
    <n v="150"/>
  </r>
  <r>
    <n v="4458"/>
    <s v="02"/>
    <s v="4458021ra"/>
    <s v="1ra"/>
    <m/>
    <n v="720"/>
    <m/>
    <n v="720"/>
    <n v="576"/>
    <n v="479"/>
    <n v="144"/>
    <n v="0"/>
    <n v="240"/>
  </r>
  <r>
    <n v="4458"/>
    <s v="03"/>
    <s v="4458031ra"/>
    <s v="1ra"/>
    <m/>
    <n v="300"/>
    <m/>
    <n v="300"/>
    <n v="300"/>
    <n v="264"/>
    <n v="0"/>
    <n v="0"/>
    <n v="36"/>
  </r>
  <r>
    <n v="4501"/>
    <s v="02"/>
    <s v="4501021ra"/>
    <s v="1ra"/>
    <m/>
    <n v="465"/>
    <m/>
    <n v="465"/>
    <n v="495"/>
    <n v="464"/>
    <n v="-30"/>
    <n v="0"/>
    <n v="0"/>
  </r>
  <r>
    <n v="4501"/>
    <s v="13"/>
    <s v="4501131ra"/>
    <s v="1ra"/>
    <m/>
    <n v="300"/>
    <m/>
    <n v="300"/>
    <n v="255"/>
    <n v="225"/>
    <n v="45"/>
    <n v="0"/>
    <n v="75"/>
  </r>
  <r>
    <n v="4544"/>
    <s v="02"/>
    <s v="4544021ra"/>
    <s v="1ra"/>
    <m/>
    <n v="444"/>
    <m/>
    <n v="444"/>
    <n v="408"/>
    <n v="300"/>
    <n v="36"/>
    <n v="0"/>
    <n v="144"/>
  </r>
  <r>
    <n v="4544"/>
    <s v="13"/>
    <s v="4544131ra"/>
    <s v="1ra"/>
    <m/>
    <n v="336"/>
    <m/>
    <n v="336"/>
    <n v="288"/>
    <n v="228"/>
    <n v="48"/>
    <n v="0"/>
    <n v="108"/>
  </r>
  <r>
    <n v="4561"/>
    <s v="02"/>
    <s v="4561021ra"/>
    <s v="1ra"/>
    <m/>
    <n v="732"/>
    <m/>
    <n v="732"/>
    <n v="684"/>
    <n v="612"/>
    <n v="48"/>
    <n v="0"/>
    <n v="120"/>
  </r>
  <r>
    <n v="4561"/>
    <s v="03"/>
    <s v="4561031ra"/>
    <s v="1ra"/>
    <m/>
    <n v="564"/>
    <m/>
    <n v="564"/>
    <n v="588"/>
    <n v="528"/>
    <n v="-24"/>
    <n v="0"/>
    <n v="36"/>
  </r>
  <r>
    <n v="4561"/>
    <s v="16"/>
    <s v="4561161ra"/>
    <s v="1ra"/>
    <m/>
    <n v="168"/>
    <m/>
    <n v="168"/>
    <n v="144"/>
    <n v="60"/>
    <n v="24"/>
    <n v="0"/>
    <n v="108"/>
  </r>
  <r>
    <n v="4595"/>
    <s v="02"/>
    <s v="4595021ra"/>
    <s v="1ra"/>
    <m/>
    <n v="510"/>
    <m/>
    <n v="510"/>
    <n v="570"/>
    <n v="510"/>
    <n v="-60"/>
    <n v="0"/>
    <n v="0"/>
  </r>
  <r>
    <n v="4595"/>
    <s v="03"/>
    <s v="4595031ra"/>
    <s v="1ra"/>
    <m/>
    <n v="450"/>
    <m/>
    <n v="450"/>
    <n v="480"/>
    <n v="420"/>
    <n v="-30"/>
    <n v="0"/>
    <n v="30"/>
  </r>
  <r>
    <n v="4595"/>
    <s v="20"/>
    <s v="4595201ra"/>
    <s v="1ra"/>
    <m/>
    <n v="345"/>
    <m/>
    <n v="345"/>
    <n v="360"/>
    <n v="315"/>
    <n v="-15"/>
    <n v="0"/>
    <n v="30"/>
  </r>
  <r>
    <n v="4756"/>
    <s v="16"/>
    <s v="4756161ra"/>
    <s v="1ra"/>
    <n v="330"/>
    <n v="0"/>
    <m/>
    <n v="330"/>
    <n v="300"/>
    <n v="284"/>
    <n v="30"/>
    <n v="0"/>
    <n v="0"/>
  </r>
  <r>
    <n v="4783"/>
    <s v="02"/>
    <s v="4783021ra"/>
    <s v="1ra"/>
    <m/>
    <n v="360"/>
    <m/>
    <n v="360"/>
    <n v="264"/>
    <n v="228"/>
    <n v="96"/>
    <n v="0"/>
    <n v="132"/>
  </r>
  <r>
    <n v="4783"/>
    <s v="03"/>
    <s v="4783031ra"/>
    <s v="1ra"/>
    <m/>
    <n v="240"/>
    <m/>
    <n v="240"/>
    <n v="168"/>
    <n v="132"/>
    <n v="72"/>
    <n v="0"/>
    <n v="108"/>
  </r>
  <r>
    <n v="4799"/>
    <s v="02"/>
    <s v="4799021ra"/>
    <s v="1ra"/>
    <m/>
    <n v="396"/>
    <m/>
    <n v="396"/>
    <n v="348"/>
    <n v="288"/>
    <n v="48"/>
    <n v="0"/>
    <n v="108"/>
  </r>
  <r>
    <n v="4799"/>
    <s v="16"/>
    <s v="4799161ra"/>
    <s v="1ra"/>
    <m/>
    <n v="204"/>
    <m/>
    <n v="204"/>
    <n v="156"/>
    <n v="120"/>
    <n v="48"/>
    <n v="0"/>
    <n v="84"/>
  </r>
  <r>
    <n v="4805"/>
    <s v="02"/>
    <s v="4805021ra"/>
    <s v="1ra"/>
    <m/>
    <n v="312"/>
    <m/>
    <n v="312"/>
    <n v="252"/>
    <n v="216"/>
    <n v="60"/>
    <n v="0"/>
    <n v="96"/>
  </r>
  <r>
    <n v="4805"/>
    <s v="03"/>
    <s v="4805031ra"/>
    <s v="1ra"/>
    <m/>
    <n v="288"/>
    <m/>
    <n v="288"/>
    <n v="216"/>
    <n v="192"/>
    <n v="72"/>
    <n v="0"/>
    <n v="96"/>
  </r>
  <r>
    <n v="4814"/>
    <s v="02"/>
    <s v="4814021ra"/>
    <s v="1ra"/>
    <m/>
    <n v="600"/>
    <m/>
    <n v="600"/>
    <n v="684"/>
    <n v="600"/>
    <n v="-84"/>
    <n v="0"/>
    <n v="0"/>
  </r>
  <r>
    <n v="4814"/>
    <s v="03"/>
    <s v="4814031ra"/>
    <s v="1ra"/>
    <m/>
    <n v="204"/>
    <m/>
    <n v="204"/>
    <n v="240"/>
    <n v="204"/>
    <n v="-36"/>
    <n v="0"/>
    <n v="0"/>
  </r>
  <r>
    <n v="4814"/>
    <s v="26"/>
    <s v="4814261ra"/>
    <s v="1ra"/>
    <m/>
    <n v="468"/>
    <m/>
    <n v="468"/>
    <n v="552"/>
    <n v="468"/>
    <n v="-84"/>
    <n v="0"/>
    <n v="0"/>
  </r>
  <r>
    <n v="4815"/>
    <s v="02"/>
    <s v="4815021ra"/>
    <s v="1ra"/>
    <m/>
    <n v="300"/>
    <m/>
    <n v="300"/>
    <n v="180"/>
    <n v="120"/>
    <n v="120"/>
    <n v="0"/>
    <n v="180"/>
  </r>
  <r>
    <n v="4815"/>
    <s v="08"/>
    <s v="4815081ra"/>
    <s v="1ra"/>
    <m/>
    <n v="300"/>
    <m/>
    <n v="300"/>
    <n v="144"/>
    <n v="96"/>
    <n v="156"/>
    <n v="0"/>
    <n v="204"/>
  </r>
  <r>
    <n v="4830"/>
    <s v="00"/>
    <s v="4830001ra"/>
    <s v="1ra"/>
    <m/>
    <n v="0"/>
    <m/>
    <n v="0"/>
    <n v="0"/>
    <s v=""/>
    <n v="0"/>
    <n v="0"/>
    <n v="0"/>
  </r>
  <r>
    <n v="4830"/>
    <s v="02"/>
    <s v="4830021ra"/>
    <s v="1ra"/>
    <m/>
    <n v="0"/>
    <m/>
    <n v="0"/>
    <n v="0"/>
    <s v=""/>
    <n v="0"/>
    <n v="0"/>
    <n v="0"/>
  </r>
  <r>
    <n v="4830"/>
    <s v="20"/>
    <s v="4830201ra"/>
    <s v="1ra"/>
    <m/>
    <n v="300"/>
    <m/>
    <n v="300"/>
    <n v="96"/>
    <n v="72"/>
    <n v="204"/>
    <n v="0"/>
    <n v="228"/>
  </r>
  <r>
    <n v="4833"/>
    <s v="02"/>
    <s v="4833021ra"/>
    <s v="1ra"/>
    <m/>
    <n v="300"/>
    <m/>
    <n v="300"/>
    <n v="216"/>
    <n v="180"/>
    <n v="84"/>
    <n v="0"/>
    <n v="120"/>
  </r>
  <r>
    <n v="4833"/>
    <s v="27"/>
    <s v="4833271ra"/>
    <s v="1ra"/>
    <m/>
    <n v="0"/>
    <m/>
    <n v="0"/>
    <n v="0"/>
    <s v=""/>
    <n v="0"/>
    <n v="0"/>
    <n v="0"/>
  </r>
  <r>
    <n v="4837"/>
    <s v="02"/>
    <s v="4837021ra"/>
    <s v="1ra"/>
    <m/>
    <n v="255"/>
    <m/>
    <n v="255"/>
    <n v="285"/>
    <n v="195"/>
    <n v="-30"/>
    <n v="0"/>
    <n v="60"/>
  </r>
  <r>
    <n v="4837"/>
    <s v="03"/>
    <s v="4837031ra"/>
    <s v="1ra"/>
    <m/>
    <n v="450"/>
    <m/>
    <n v="450"/>
    <n v="450"/>
    <n v="315"/>
    <n v="0"/>
    <n v="0"/>
    <n v="135"/>
  </r>
  <r>
    <n v="4837"/>
    <s v="08"/>
    <s v="4837081ra"/>
    <s v="1ra"/>
    <m/>
    <n v="450"/>
    <m/>
    <n v="450"/>
    <n v="390"/>
    <n v="240"/>
    <n v="60"/>
    <n v="0"/>
    <n v="209"/>
  </r>
  <r>
    <n v="4837"/>
    <s v="13"/>
    <s v="4837131ra"/>
    <s v="1ra"/>
    <m/>
    <n v="600"/>
    <m/>
    <n v="600"/>
    <n v="555"/>
    <n v="405"/>
    <n v="45"/>
    <n v="0"/>
    <n v="195"/>
  </r>
  <r>
    <n v="4842"/>
    <s v="02"/>
    <s v="4842021ra"/>
    <s v="1ra"/>
    <m/>
    <n v="495"/>
    <m/>
    <n v="495"/>
    <n v="405"/>
    <n v="269"/>
    <n v="90"/>
    <n v="0"/>
    <n v="225"/>
  </r>
  <r>
    <n v="4842"/>
    <s v="11"/>
    <s v="4842111ra"/>
    <s v="1ra"/>
    <m/>
    <n v="360"/>
    <m/>
    <n v="360"/>
    <n v="345"/>
    <n v="270"/>
    <n v="15"/>
    <n v="0"/>
    <n v="90"/>
  </r>
  <r>
    <n v="4842"/>
    <s v="13"/>
    <s v="4842131ra"/>
    <s v="1ra"/>
    <m/>
    <n v="435"/>
    <m/>
    <n v="435"/>
    <n v="435"/>
    <n v="300"/>
    <n v="0"/>
    <n v="0"/>
    <n v="135"/>
  </r>
  <r>
    <n v="4843"/>
    <s v="02"/>
    <s v="4843021ra"/>
    <s v="1ra"/>
    <m/>
    <n v="720"/>
    <m/>
    <n v="720"/>
    <n v="720"/>
    <n v="480"/>
    <n v="0"/>
    <n v="0"/>
    <n v="240"/>
  </r>
  <r>
    <n v="4843"/>
    <s v="08"/>
    <s v="4843081ra"/>
    <s v="1ra"/>
    <m/>
    <n v="360"/>
    <m/>
    <n v="360"/>
    <n v="210"/>
    <n v="120"/>
    <n v="150"/>
    <n v="0"/>
    <n v="240"/>
  </r>
  <r>
    <n v="4843"/>
    <s v="13"/>
    <s v="4843131ra"/>
    <s v="1ra"/>
    <m/>
    <n v="360"/>
    <m/>
    <n v="360"/>
    <n v="270"/>
    <n v="165"/>
    <n v="90"/>
    <n v="0"/>
    <n v="195"/>
  </r>
  <r>
    <n v="4850"/>
    <s v="02"/>
    <s v="4850021ra"/>
    <s v="1ra"/>
    <m/>
    <n v="675"/>
    <m/>
    <n v="675"/>
    <n v="615"/>
    <n v="570"/>
    <n v="60"/>
    <n v="0"/>
    <n v="105"/>
  </r>
  <r>
    <n v="4850"/>
    <s v="16"/>
    <s v="4850161ra"/>
    <s v="1ra"/>
    <m/>
    <n v="375"/>
    <m/>
    <n v="375"/>
    <n v="375"/>
    <n v="360"/>
    <n v="0"/>
    <n v="0"/>
    <n v="15"/>
  </r>
  <r>
    <n v="4852"/>
    <s v="02"/>
    <s v="4852021ra"/>
    <s v="1ra"/>
    <m/>
    <n v="504"/>
    <m/>
    <n v="504"/>
    <n v="372"/>
    <n v="276"/>
    <n v="132"/>
    <n v="0"/>
    <n v="228"/>
  </r>
  <r>
    <n v="4852"/>
    <s v="06"/>
    <s v="4852061ra"/>
    <s v="1ra"/>
    <m/>
    <n v="0"/>
    <m/>
    <n v="0"/>
    <n v="0"/>
    <s v=""/>
    <n v="0"/>
    <n v="0"/>
    <n v="0"/>
  </r>
  <r>
    <n v="4852"/>
    <s v="13"/>
    <s v="4852131ra"/>
    <s v="1ra"/>
    <m/>
    <n v="300"/>
    <m/>
    <n v="300"/>
    <n v="252"/>
    <n v="180"/>
    <n v="48"/>
    <n v="0"/>
    <n v="120"/>
  </r>
  <r>
    <n v="4856"/>
    <s v="02"/>
    <s v="4856021ra"/>
    <s v="1ra"/>
    <m/>
    <n v="1500"/>
    <m/>
    <n v="1500"/>
    <n v="1815"/>
    <n v="1499"/>
    <n v="-315"/>
    <n v="0"/>
    <n v="0"/>
  </r>
  <r>
    <n v="4856"/>
    <s v="16"/>
    <s v="4856161ra"/>
    <s v="1ra"/>
    <m/>
    <n v="1500"/>
    <m/>
    <n v="1500"/>
    <n v="1845"/>
    <n v="1500"/>
    <n v="-345"/>
    <n v="0"/>
    <n v="0"/>
  </r>
  <r>
    <n v="4864"/>
    <s v="02"/>
    <s v="4864021ra"/>
    <s v="1ra"/>
    <m/>
    <n v="504"/>
    <m/>
    <n v="504"/>
    <n v="480"/>
    <n v="300"/>
    <n v="24"/>
    <n v="0"/>
    <n v="204"/>
  </r>
  <r>
    <n v="4864"/>
    <s v="03"/>
    <s v="4864031ra"/>
    <s v="1ra"/>
    <m/>
    <n v="384"/>
    <m/>
    <n v="384"/>
    <n v="252"/>
    <n v="216"/>
    <n v="132"/>
    <n v="0"/>
    <n v="168"/>
  </r>
  <r>
    <n v="4865"/>
    <s v="02"/>
    <s v="4865021ra"/>
    <s v="1ra"/>
    <m/>
    <n v="420"/>
    <m/>
    <n v="420"/>
    <n v="396"/>
    <n v="336"/>
    <n v="24"/>
    <n v="0"/>
    <n v="84"/>
  </r>
  <r>
    <n v="4865"/>
    <s v="16"/>
    <s v="4865161ra"/>
    <s v="1ra"/>
    <m/>
    <n v="276"/>
    <m/>
    <n v="276"/>
    <n v="420"/>
    <n v="276"/>
    <n v="-144"/>
    <n v="0"/>
    <n v="0"/>
  </r>
  <r>
    <n v="4866"/>
    <s v="02"/>
    <s v="4866021ra"/>
    <s v="1ra"/>
    <m/>
    <n v="408"/>
    <m/>
    <n v="408"/>
    <n v="288"/>
    <n v="228"/>
    <n v="120"/>
    <n v="0"/>
    <n v="180"/>
  </r>
  <r>
    <n v="4866"/>
    <s v="03"/>
    <s v="4866031ra"/>
    <s v="1ra"/>
    <m/>
    <n v="264"/>
    <m/>
    <n v="264"/>
    <n v="192"/>
    <n v="155"/>
    <n v="72"/>
    <n v="0"/>
    <n v="108"/>
  </r>
  <r>
    <n v="4867"/>
    <s v="02"/>
    <s v="4867021ra"/>
    <s v="1ra"/>
    <m/>
    <n v="432"/>
    <m/>
    <n v="432"/>
    <n v="324"/>
    <n v="228"/>
    <n v="108"/>
    <n v="0"/>
    <n v="204"/>
  </r>
  <r>
    <n v="4867"/>
    <s v="03"/>
    <s v="4867031ra"/>
    <s v="1ra"/>
    <m/>
    <n v="288"/>
    <m/>
    <n v="288"/>
    <n v="288"/>
    <n v="216"/>
    <n v="0"/>
    <n v="0"/>
    <n v="72"/>
  </r>
  <r>
    <n v="4868"/>
    <s v="02"/>
    <s v="4868021ra"/>
    <s v="1ra"/>
    <m/>
    <n v="372"/>
    <m/>
    <n v="372"/>
    <n v="180"/>
    <n v="131"/>
    <n v="192"/>
    <n v="0"/>
    <n v="240"/>
  </r>
  <r>
    <n v="4868"/>
    <s v="03"/>
    <s v="4868031ra"/>
    <s v="1ra"/>
    <m/>
    <n v="180"/>
    <m/>
    <n v="180"/>
    <n v="0"/>
    <s v=""/>
    <n v="180"/>
    <n v="0"/>
    <n v="0"/>
  </r>
  <r>
    <n v="5848"/>
    <s v="31"/>
    <s v="5848311ra"/>
    <s v="1ra"/>
    <n v="120"/>
    <n v="0"/>
    <m/>
    <n v="120"/>
    <n v="132"/>
    <n v="102"/>
    <n v="-12"/>
    <n v="0"/>
    <n v="0"/>
  </r>
  <r>
    <n v="5868"/>
    <s v="02"/>
    <s v="5868021ra"/>
    <s v="1ra"/>
    <m/>
    <n v="405"/>
    <m/>
    <n v="405"/>
    <n v="405"/>
    <n v="360"/>
    <n v="0"/>
    <n v="15"/>
    <n v="30"/>
  </r>
  <r>
    <n v="5868"/>
    <s v="08"/>
    <s v="5868081ra"/>
    <s v="1ra"/>
    <m/>
    <n v="360"/>
    <m/>
    <n v="360"/>
    <n v="360"/>
    <n v="255"/>
    <n v="0"/>
    <n v="0"/>
    <n v="105"/>
  </r>
  <r>
    <n v="5868"/>
    <s v="11"/>
    <s v="5868111ra"/>
    <s v="1ra"/>
    <m/>
    <n v="705"/>
    <m/>
    <n v="705"/>
    <n v="795"/>
    <n v="645"/>
    <n v="-90"/>
    <n v="15"/>
    <n v="45"/>
  </r>
  <r>
    <n v="5869"/>
    <s v="08"/>
    <s v="5869081ra"/>
    <s v="1ra"/>
    <m/>
    <n v="495"/>
    <m/>
    <n v="495"/>
    <n v="435"/>
    <n v="375"/>
    <n v="60"/>
    <n v="0"/>
    <n v="120"/>
  </r>
  <r>
    <n v="5869"/>
    <s v="11"/>
    <s v="5869111ra"/>
    <s v="1ra"/>
    <m/>
    <n v="810"/>
    <m/>
    <n v="810"/>
    <n v="795"/>
    <n v="630"/>
    <n v="15"/>
    <n v="0"/>
    <n v="180"/>
  </r>
  <r>
    <n v="5870"/>
    <s v="02"/>
    <s v="5870021ra"/>
    <s v="1ra"/>
    <m/>
    <n v="360"/>
    <m/>
    <n v="360"/>
    <n v="300"/>
    <n v="270"/>
    <n v="60"/>
    <n v="0"/>
    <n v="90"/>
  </r>
  <r>
    <n v="5870"/>
    <s v="11"/>
    <s v="5870111ra"/>
    <s v="1ra"/>
    <m/>
    <n v="0"/>
    <m/>
    <n v="0"/>
    <n v="0"/>
    <s v=""/>
    <n v="0"/>
    <n v="0"/>
    <n v="0"/>
  </r>
  <r>
    <n v="5870"/>
    <s v="16"/>
    <s v="5870161ra"/>
    <s v="1ra"/>
    <m/>
    <n v="420"/>
    <m/>
    <n v="420"/>
    <n v="330"/>
    <n v="225"/>
    <n v="90"/>
    <n v="0"/>
    <n v="195"/>
  </r>
  <r>
    <n v="5871"/>
    <s v="02"/>
    <s v="5871021ra"/>
    <s v="1ra"/>
    <m/>
    <n v="780"/>
    <m/>
    <n v="780"/>
    <n v="780"/>
    <n v="615"/>
    <n v="0"/>
    <n v="0"/>
    <n v="165"/>
  </r>
  <r>
    <n v="5871"/>
    <s v="05"/>
    <s v="5871051ra"/>
    <s v="1ra"/>
    <m/>
    <n v="405"/>
    <m/>
    <n v="405"/>
    <n v="465"/>
    <n v="405"/>
    <n v="-60"/>
    <n v="0"/>
    <n v="0"/>
  </r>
  <r>
    <n v="5871"/>
    <s v="13"/>
    <s v="5871131ra"/>
    <s v="1ra"/>
    <m/>
    <n v="1050"/>
    <m/>
    <n v="1050"/>
    <n v="1245"/>
    <n v="1050"/>
    <n v="-195"/>
    <n v="0"/>
    <n v="0"/>
  </r>
  <r>
    <n v="5872"/>
    <s v="02"/>
    <s v="5872021ra"/>
    <s v="1ra"/>
    <m/>
    <n v="585"/>
    <m/>
    <n v="585"/>
    <n v="660"/>
    <n v="540"/>
    <n v="-75"/>
    <n v="0"/>
    <n v="15"/>
  </r>
  <r>
    <n v="5872"/>
    <s v="05"/>
    <s v="5872051ra"/>
    <s v="1ra"/>
    <m/>
    <n v="360"/>
    <m/>
    <n v="360"/>
    <n v="375"/>
    <n v="285"/>
    <n v="-15"/>
    <n v="0"/>
    <n v="45"/>
  </r>
  <r>
    <n v="5872"/>
    <s v="11"/>
    <s v="5872111ra"/>
    <s v="1ra"/>
    <m/>
    <n v="360"/>
    <m/>
    <n v="360"/>
    <n v="255"/>
    <n v="195"/>
    <n v="105"/>
    <n v="0"/>
    <n v="165"/>
  </r>
  <r>
    <n v="5902"/>
    <s v="20"/>
    <s v="5902202da"/>
    <s v="2da"/>
    <n v="156"/>
    <n v="0"/>
    <m/>
    <n v="156"/>
    <n v="12"/>
    <n v="863"/>
    <n v="144"/>
    <n v="0"/>
    <n v="120"/>
  </r>
  <r>
    <n v="6000"/>
    <s v="20"/>
    <s v="6000203ra"/>
    <s v="3ra"/>
    <n v="840"/>
    <n v="0"/>
    <m/>
    <n v="840"/>
    <n v="0"/>
    <n v="72"/>
    <n v="840"/>
    <n v="0"/>
    <n v="732"/>
  </r>
  <r>
    <n v="6001"/>
    <s v="20"/>
    <s v="6001202da"/>
    <s v="2da"/>
    <n v="795"/>
    <n v="0"/>
    <m/>
    <n v="795"/>
    <n v="0"/>
    <n v="164"/>
    <n v="795"/>
    <n v="0"/>
    <n v="570"/>
  </r>
  <r>
    <n v="6518"/>
    <s v="02"/>
    <s v="6518021ra"/>
    <s v="1ra"/>
    <m/>
    <n v="144"/>
    <m/>
    <n v="144"/>
    <n v="192"/>
    <n v="144"/>
    <n v="-48"/>
    <n v="0"/>
    <n v="0"/>
  </r>
  <r>
    <n v="6518"/>
    <s v="02"/>
    <s v="6518022da"/>
    <s v="2da"/>
    <m/>
    <n v="348"/>
    <m/>
    <n v="348"/>
    <n v="396"/>
    <n v="348"/>
    <n v="-48"/>
    <n v="0"/>
    <n v="0"/>
  </r>
  <r>
    <n v="6518"/>
    <s v="02"/>
    <s v="6518023ra"/>
    <s v="3ra"/>
    <m/>
    <n v="504"/>
    <m/>
    <n v="504"/>
    <n v="588"/>
    <n v="492"/>
    <n v="-84"/>
    <n v="0"/>
    <n v="12"/>
  </r>
  <r>
    <n v="6518"/>
    <s v="05"/>
    <s v="6518051ra"/>
    <s v="1ra"/>
    <m/>
    <n v="180"/>
    <m/>
    <n v="180"/>
    <n v="240"/>
    <n v="180"/>
    <n v="-60"/>
    <n v="0"/>
    <n v="0"/>
  </r>
  <r>
    <n v="6518"/>
    <s v="05"/>
    <s v="6518052da"/>
    <s v="2da"/>
    <m/>
    <n v="432"/>
    <m/>
    <n v="432"/>
    <n v="468"/>
    <n v="432"/>
    <n v="-36"/>
    <n v="0"/>
    <n v="0"/>
  </r>
  <r>
    <n v="6519"/>
    <s v="02"/>
    <s v="6519021ra"/>
    <s v="1ra"/>
    <m/>
    <n v="204"/>
    <m/>
    <n v="204"/>
    <n v="252"/>
    <n v="204"/>
    <n v="-48"/>
    <n v="0"/>
    <n v="0"/>
  </r>
  <r>
    <n v="6519"/>
    <s v="02"/>
    <s v="6519022da"/>
    <s v="2da"/>
    <m/>
    <n v="408"/>
    <m/>
    <n v="408"/>
    <n v="480"/>
    <n v="408"/>
    <n v="-72"/>
    <n v="0"/>
    <n v="0"/>
  </r>
  <r>
    <n v="6519"/>
    <s v="02"/>
    <s v="6519023ra"/>
    <s v="3ra"/>
    <m/>
    <n v="504"/>
    <m/>
    <n v="504"/>
    <n v="588"/>
    <n v="504"/>
    <n v="-84"/>
    <n v="0"/>
    <n v="0"/>
  </r>
  <r>
    <n v="6606"/>
    <s v="11"/>
    <s v="6606112da"/>
    <s v="2da"/>
    <n v="0"/>
    <n v="2400"/>
    <m/>
    <n v="2400"/>
    <n v="2090"/>
    <n v="1877"/>
    <n v="310"/>
    <n v="0"/>
    <n v="570"/>
  </r>
  <r>
    <s v="9013"/>
    <s v="16"/>
    <s v="9013164ta"/>
    <s v="4ta"/>
    <s v="225"/>
    <n v="0"/>
    <m/>
    <n v="225"/>
    <n v="0"/>
    <s v=""/>
    <n v="225"/>
    <n v="0"/>
    <n v="0"/>
  </r>
  <r>
    <n v="9447"/>
    <s v="11"/>
    <s v="9447111ra"/>
    <s v="1ra"/>
    <n v="30"/>
    <n v="300"/>
    <m/>
    <n v="330"/>
    <n v="495"/>
    <n v="327"/>
    <n v="-165"/>
    <n v="15"/>
    <n v="20"/>
  </r>
  <r>
    <n v="9448"/>
    <s v="16"/>
    <s v="9448162da"/>
    <s v="2da"/>
    <n v="-75"/>
    <n v="4140"/>
    <e v="#REF!"/>
    <n v="4065"/>
    <n v="2168"/>
    <n v="2255"/>
    <n v="1897"/>
    <n v="510"/>
    <n v="1661"/>
  </r>
  <r>
    <n v="9476"/>
    <s v="13"/>
    <s v="9476131ra"/>
    <s v="1ra"/>
    <m/>
    <n v="1005"/>
    <m/>
    <n v="1005"/>
    <n v="1035"/>
    <n v="780"/>
    <n v="-30"/>
    <n v="15"/>
    <n v="210"/>
  </r>
  <r>
    <n v="9480"/>
    <s v="03"/>
    <s v="9480031ra"/>
    <s v="1ra"/>
    <m/>
    <n v="315"/>
    <m/>
    <n v="315"/>
    <n v="180"/>
    <n v="165"/>
    <n v="135"/>
    <n v="0"/>
    <n v="150"/>
  </r>
  <r>
    <n v="9480"/>
    <s v="08"/>
    <s v="9480081ra"/>
    <s v="1ra"/>
    <m/>
    <n v="495"/>
    <m/>
    <n v="495"/>
    <n v="270"/>
    <n v="195"/>
    <n v="225"/>
    <n v="120"/>
    <n v="180"/>
  </r>
  <r>
    <n v="9743"/>
    <s v="02"/>
    <s v="9743021ra"/>
    <s v="1ra"/>
    <m/>
    <n v="300"/>
    <m/>
    <n v="300"/>
    <n v="390"/>
    <n v="300"/>
    <n v="-90"/>
    <n v="0"/>
    <n v="0"/>
  </r>
  <r>
    <n v="9743"/>
    <s v="03"/>
    <s v="9743031ra"/>
    <s v="1ra"/>
    <m/>
    <n v="300"/>
    <m/>
    <n v="300"/>
    <n v="330"/>
    <n v="210"/>
    <n v="-30"/>
    <n v="0"/>
    <n v="60"/>
  </r>
  <r>
    <n v="9752"/>
    <s v="02"/>
    <s v="9752021ra"/>
    <s v="1ra"/>
    <m/>
    <n v="330"/>
    <m/>
    <n v="330"/>
    <n v="315"/>
    <n v="255"/>
    <n v="15"/>
    <n v="0"/>
    <n v="75"/>
  </r>
  <r>
    <n v="9752"/>
    <s v="03"/>
    <s v="9752031ra"/>
    <s v="1ra"/>
    <m/>
    <n v="300"/>
    <m/>
    <n v="300"/>
    <n v="345"/>
    <n v="284"/>
    <n v="-45"/>
    <n v="0"/>
    <n v="15"/>
  </r>
  <r>
    <n v="9759"/>
    <s v="02"/>
    <s v="9759021ra"/>
    <s v="1ra"/>
    <m/>
    <n v="300"/>
    <m/>
    <n v="300"/>
    <n v="165"/>
    <n v="103"/>
    <n v="135"/>
    <n v="0"/>
    <n v="195"/>
  </r>
  <r>
    <n v="9759"/>
    <s v="03"/>
    <s v="9759031ra"/>
    <s v="1ra"/>
    <m/>
    <n v="300"/>
    <m/>
    <n v="300"/>
    <n v="180"/>
    <n v="90"/>
    <n v="120"/>
    <n v="0"/>
    <n v="210"/>
  </r>
  <r>
    <n v="9759"/>
    <s v="05"/>
    <s v="9759051ra"/>
    <s v="1ra"/>
    <m/>
    <n v="0"/>
    <m/>
    <n v="0"/>
    <n v="0"/>
    <s v=""/>
    <n v="0"/>
    <n v="0"/>
    <n v="0"/>
  </r>
  <r>
    <n v="9763"/>
    <s v="02"/>
    <s v="9763021ra"/>
    <s v="1ra"/>
    <m/>
    <n v="0"/>
    <m/>
    <n v="0"/>
    <n v="0"/>
    <s v=""/>
    <n v="0"/>
    <n v="0"/>
    <n v="0"/>
  </r>
  <r>
    <n v="9763"/>
    <s v="03"/>
    <s v="9763031ra"/>
    <s v="1ra"/>
    <m/>
    <n v="1005"/>
    <m/>
    <n v="1005"/>
    <n v="1080"/>
    <n v="885"/>
    <n v="-75"/>
    <n v="0"/>
    <n v="135"/>
  </r>
  <r>
    <n v="9764"/>
    <s v="03"/>
    <s v="9764031ra"/>
    <s v="1ra"/>
    <m/>
    <n v="600"/>
    <m/>
    <n v="600"/>
    <n v="465"/>
    <n v="330"/>
    <n v="135"/>
    <n v="0"/>
    <n v="270"/>
  </r>
  <r>
    <n v="9765"/>
    <s v="03"/>
    <s v="9765031ra"/>
    <s v="1ra"/>
    <m/>
    <n v="315"/>
    <m/>
    <n v="315"/>
    <n v="270"/>
    <n v="255"/>
    <n v="45"/>
    <n v="0"/>
    <n v="60"/>
  </r>
  <r>
    <n v="9765"/>
    <s v="08"/>
    <s v="9765081ra"/>
    <s v="1ra"/>
    <m/>
    <n v="405"/>
    <m/>
    <n v="405"/>
    <n v="360"/>
    <n v="315"/>
    <n v="45"/>
    <n v="0"/>
    <n v="90"/>
  </r>
  <r>
    <n v="9839"/>
    <s v="20"/>
    <s v="9839202da"/>
    <s v="2da"/>
    <n v="549"/>
    <n v="0"/>
    <m/>
    <n v="549"/>
    <n v="48"/>
    <n v="264"/>
    <n v="501"/>
    <n v="0"/>
    <n v="285"/>
  </r>
  <r>
    <s v="9840"/>
    <s v="08"/>
    <s v="9840082da"/>
    <s v="2da"/>
    <n v="0"/>
    <n v="0"/>
    <m/>
    <n v="0"/>
    <n v="60"/>
    <n v="-2"/>
    <n v="-60"/>
    <n v="0"/>
    <n v="0"/>
  </r>
  <r>
    <s v="9844"/>
    <s v="20"/>
    <s v="9844202da"/>
    <s v="2da"/>
    <n v="454"/>
    <n v="0"/>
    <m/>
    <n v="454"/>
    <n v="36"/>
    <n v="396"/>
    <n v="418"/>
    <n v="0"/>
    <n v="12"/>
  </r>
  <r>
    <n v="9863"/>
    <s v="13"/>
    <s v="9863132da"/>
    <s v="2da"/>
    <n v="18"/>
    <n v="0"/>
    <m/>
    <n v="18"/>
    <n v="18"/>
    <n v="18"/>
    <n v="0"/>
    <n v="0"/>
    <n v="0"/>
  </r>
  <r>
    <n v="9868"/>
    <s v="11"/>
    <s v="9868112da"/>
    <s v="2da"/>
    <n v="60"/>
    <n v="0"/>
    <n v="300"/>
    <n v="360"/>
    <n v="90"/>
    <n v="285"/>
    <n v="270"/>
    <n v="0"/>
    <n v="255"/>
  </r>
  <r>
    <s v="9875"/>
    <s v="08"/>
    <s v="9875082da"/>
    <s v="2da"/>
    <n v="195"/>
    <n v="0"/>
    <m/>
    <n v="195"/>
    <n v="165"/>
    <n v="239"/>
    <n v="30"/>
    <n v="0"/>
    <n v="0"/>
  </r>
  <r>
    <n v="9876"/>
    <s v="20"/>
    <s v="9876204ta"/>
    <s v="4ta"/>
    <n v="166"/>
    <n v="0"/>
    <m/>
    <n v="166"/>
    <n v="48"/>
    <n v="36"/>
    <n v="118"/>
    <n v="0"/>
    <n v="81"/>
  </r>
  <r>
    <n v="9877"/>
    <s v="20"/>
    <s v="9877204ta"/>
    <s v="4ta"/>
    <n v="48"/>
    <n v="0"/>
    <m/>
    <n v="48"/>
    <n v="24"/>
    <n v="24"/>
    <n v="24"/>
    <n v="12"/>
    <n v="12"/>
  </r>
  <r>
    <n v="9879"/>
    <s v="20"/>
    <s v="9879204ta"/>
    <s v="4ta"/>
    <n v="0"/>
    <n v="0"/>
    <m/>
    <n v="0"/>
    <n v="12"/>
    <s v=""/>
    <n v="-12"/>
    <n v="0"/>
    <n v="0"/>
  </r>
  <r>
    <n v="9883"/>
    <s v="02"/>
    <s v="9883021ra"/>
    <s v="1ra"/>
    <n v="120"/>
    <n v="0"/>
    <m/>
    <n v="120"/>
    <n v="181"/>
    <n v="417"/>
    <n v="-61"/>
    <n v="0"/>
    <n v="90"/>
  </r>
  <r>
    <n v="9883"/>
    <s v="05"/>
    <s v="9883051ra"/>
    <s v="1ra"/>
    <n v="75"/>
    <n v="0"/>
    <m/>
    <n v="75"/>
    <n v="150"/>
    <n v="405"/>
    <n v="-75"/>
    <n v="0"/>
    <n v="105"/>
  </r>
  <r>
    <n v="9883"/>
    <s v="11"/>
    <s v="9883111ra"/>
    <s v="1ra"/>
    <n v="180"/>
    <n v="0"/>
    <m/>
    <n v="180"/>
    <n v="120"/>
    <n v="285"/>
    <n v="60"/>
    <n v="0"/>
    <n v="225"/>
  </r>
  <r>
    <n v="9886"/>
    <s v="01"/>
    <s v="9886011ra"/>
    <s v="1ra"/>
    <m/>
    <n v="600"/>
    <m/>
    <n v="600"/>
    <n v="765"/>
    <n v="480"/>
    <n v="-165"/>
    <n v="60"/>
    <n v="75"/>
  </r>
  <r>
    <n v="9886"/>
    <s v="01"/>
    <s v="9886012da"/>
    <s v="2da"/>
    <m/>
    <n v="408"/>
    <m/>
    <n v="408"/>
    <n v="432"/>
    <n v="300"/>
    <n v="-24"/>
    <n v="12"/>
    <n v="120"/>
  </r>
  <r>
    <n v="9886"/>
    <s v="02"/>
    <s v="9886021ra"/>
    <s v="1ra"/>
    <m/>
    <n v="525"/>
    <m/>
    <n v="525"/>
    <n v="720"/>
    <n v="450"/>
    <n v="-195"/>
    <n v="30"/>
    <n v="60"/>
  </r>
  <r>
    <n v="9886"/>
    <s v="02"/>
    <s v="9886022da"/>
    <s v="2da"/>
    <m/>
    <n v="492"/>
    <m/>
    <n v="492"/>
    <n v="552"/>
    <n v="384"/>
    <n v="-60"/>
    <n v="0"/>
    <n v="108"/>
  </r>
  <r>
    <n v="9887"/>
    <s v="02"/>
    <s v="9887021ra"/>
    <s v="1ra"/>
    <m/>
    <n v="492"/>
    <m/>
    <n v="492"/>
    <n v="480"/>
    <n v="396"/>
    <n v="12"/>
    <n v="12"/>
    <n v="84"/>
  </r>
  <r>
    <n v="9887"/>
    <s v="02"/>
    <s v="9887022da"/>
    <s v="2da"/>
    <m/>
    <n v="705"/>
    <m/>
    <n v="705"/>
    <n v="705"/>
    <n v="615"/>
    <n v="0"/>
    <n v="75"/>
    <n v="15"/>
  </r>
  <r>
    <n v="9887"/>
    <s v="20"/>
    <s v="9887201ra"/>
    <s v="1ra"/>
    <m/>
    <n v="0"/>
    <m/>
    <n v="0"/>
    <n v="0"/>
    <s v=""/>
    <n v="0"/>
    <n v="0"/>
    <n v="0"/>
  </r>
  <r>
    <n v="9887"/>
    <s v="20"/>
    <s v="9887202da"/>
    <s v="2da"/>
    <m/>
    <n v="0"/>
    <m/>
    <n v="0"/>
    <n v="0"/>
    <s v=""/>
    <n v="0"/>
    <n v="0"/>
    <n v="0"/>
  </r>
  <r>
    <n v="9888"/>
    <s v="01"/>
    <s v="9888011ra"/>
    <s v="1ra"/>
    <m/>
    <n v="315"/>
    <m/>
    <n v="315"/>
    <n v="345"/>
    <n v="240"/>
    <n v="-30"/>
    <n v="30"/>
    <n v="45"/>
  </r>
  <r>
    <n v="9888"/>
    <s v="02"/>
    <s v="9888021ra"/>
    <s v="1ra"/>
    <m/>
    <n v="735"/>
    <m/>
    <n v="735"/>
    <n v="870"/>
    <n v="675"/>
    <n v="-135"/>
    <n v="60"/>
    <n v="0"/>
  </r>
  <r>
    <n v="9888"/>
    <s v="11"/>
    <s v="9888111ra"/>
    <s v="1ra"/>
    <m/>
    <n v="495"/>
    <m/>
    <n v="495"/>
    <n v="495"/>
    <n v="330"/>
    <n v="0"/>
    <n v="60"/>
    <n v="105"/>
  </r>
  <r>
    <n v="9892"/>
    <s v="02"/>
    <s v="9892021ra"/>
    <s v="1ra"/>
    <m/>
    <n v="825"/>
    <m/>
    <n v="825"/>
    <n v="929"/>
    <n v="750"/>
    <n v="-104"/>
    <n v="0"/>
    <n v="75"/>
  </r>
  <r>
    <n v="9892"/>
    <s v="02"/>
    <s v="9892022da"/>
    <s v="2da"/>
    <m/>
    <n v="588"/>
    <m/>
    <n v="588"/>
    <n v="924"/>
    <n v="588"/>
    <n v="-336"/>
    <n v="0"/>
    <n v="0"/>
  </r>
  <r>
    <n v="9895"/>
    <s v="02"/>
    <s v="9895021ra"/>
    <s v="1ra"/>
    <m/>
    <n v="420"/>
    <m/>
    <n v="420"/>
    <n v="495"/>
    <n v="374"/>
    <n v="-75"/>
    <n v="0"/>
    <n v="45"/>
  </r>
  <r>
    <n v="9895"/>
    <s v="08"/>
    <s v="9895081ra"/>
    <s v="1ra"/>
    <m/>
    <n v="360"/>
    <m/>
    <n v="360"/>
    <n v="360"/>
    <n v="285"/>
    <n v="0"/>
    <n v="0"/>
    <n v="85"/>
  </r>
  <r>
    <n v="9895"/>
    <s v="11"/>
    <s v="9895111ra"/>
    <s v="1ra"/>
    <m/>
    <n v="375"/>
    <m/>
    <n v="375"/>
    <n v="420"/>
    <n v="345"/>
    <n v="-45"/>
    <n v="0"/>
    <n v="30"/>
  </r>
  <r>
    <n v="9897"/>
    <s v="02"/>
    <s v="9897021ra"/>
    <s v="1ra"/>
    <m/>
    <n v="600"/>
    <m/>
    <n v="600"/>
    <n v="300"/>
    <n v="255"/>
    <n v="300"/>
    <n v="0"/>
    <n v="345"/>
  </r>
  <r>
    <n v="9897"/>
    <s v="03"/>
    <s v="9897031ra"/>
    <s v="1ra"/>
    <m/>
    <n v="765"/>
    <m/>
    <n v="765"/>
    <n v="765"/>
    <n v="659"/>
    <n v="0"/>
    <n v="0"/>
    <n v="105"/>
  </r>
  <r>
    <s v="9903"/>
    <s v="20"/>
    <s v="9903202da"/>
    <s v="2da"/>
    <n v="0"/>
    <n v="0"/>
    <m/>
    <n v="0"/>
    <n v="0"/>
    <s v=""/>
    <n v="0"/>
    <n v="0"/>
    <n v="0"/>
  </r>
  <r>
    <n v="9909"/>
    <s v="02"/>
    <s v="9909021ra"/>
    <s v="1ra"/>
    <m/>
    <n v="750"/>
    <m/>
    <n v="750"/>
    <n v="735"/>
    <n v="630"/>
    <n v="15"/>
    <n v="0"/>
    <n v="75"/>
  </r>
  <r>
    <n v="9909"/>
    <s v="08"/>
    <s v="9909081ra"/>
    <s v="1ra"/>
    <m/>
    <n v="255"/>
    <m/>
    <n v="255"/>
    <n v="285"/>
    <n v="195"/>
    <n v="-30"/>
    <n v="0"/>
    <n v="60"/>
  </r>
  <r>
    <s v="9910"/>
    <s v="15"/>
    <s v="9910152da"/>
    <s v="2da"/>
    <n v="192"/>
    <n v="0"/>
    <m/>
    <n v="192"/>
    <n v="72"/>
    <n v="71"/>
    <n v="120"/>
    <n v="0"/>
    <n v="96"/>
  </r>
  <r>
    <s v="9911"/>
    <s v="02"/>
    <s v="9911022da"/>
    <s v="2da"/>
    <n v="132"/>
    <n v="0"/>
    <m/>
    <n v="132"/>
    <n v="36"/>
    <n v="36"/>
    <n v="96"/>
    <n v="36"/>
    <n v="60"/>
  </r>
  <r>
    <s v="9912"/>
    <s v="02"/>
    <s v="9912022da"/>
    <s v="2da"/>
    <n v="168"/>
    <n v="0"/>
    <m/>
    <n v="168"/>
    <n v="12"/>
    <n v="24"/>
    <n v="156"/>
    <n v="0"/>
    <n v="168"/>
  </r>
  <r>
    <n v="9915"/>
    <s v="02"/>
    <s v="9915021ra"/>
    <s v="1ra"/>
    <m/>
    <n v="600"/>
    <m/>
    <n v="600"/>
    <n v="555"/>
    <n v="435"/>
    <n v="45"/>
    <n v="0"/>
    <n v="165"/>
  </r>
  <r>
    <n v="9915"/>
    <s v="05"/>
    <s v="9915051ra"/>
    <s v="1ra"/>
    <m/>
    <n v="0"/>
    <m/>
    <n v="0"/>
    <n v="0"/>
    <s v=""/>
    <n v="0"/>
    <n v="0"/>
    <n v="0"/>
  </r>
  <r>
    <n v="9916"/>
    <s v="11"/>
    <s v="9916111ra"/>
    <s v="1ra"/>
    <m/>
    <n v="225"/>
    <m/>
    <n v="225"/>
    <n v="270"/>
    <n v="225"/>
    <n v="-45"/>
    <n v="0"/>
    <n v="0"/>
  </r>
  <r>
    <n v="9916"/>
    <s v="03"/>
    <s v="9916031ra"/>
    <s v="1ra"/>
    <m/>
    <n v="450"/>
    <m/>
    <n v="450"/>
    <n v="375"/>
    <n v="300"/>
    <n v="75"/>
    <n v="0"/>
    <n v="15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n v="2126"/>
    <s v="02"/>
    <s v="2126021ra"/>
    <s v="1ra"/>
    <n v="804"/>
    <n v="0"/>
    <m/>
    <m/>
    <m/>
    <n v="804"/>
    <n v="36"/>
    <n v="36"/>
    <n v="24"/>
    <n v="768"/>
  </r>
  <r>
    <n v="2037"/>
    <s v="02"/>
    <s v="2037021ra"/>
    <s v="1ra"/>
    <m/>
    <n v="132"/>
    <m/>
    <m/>
    <n v="132"/>
    <n v="132"/>
    <n v="132"/>
    <n v="24"/>
    <n v="108"/>
    <n v="0"/>
  </r>
  <r>
    <n v="2037"/>
    <s v="02"/>
    <s v="2037022da"/>
    <s v="2da"/>
    <m/>
    <n v="165"/>
    <m/>
    <m/>
    <n v="165"/>
    <n v="165"/>
    <n v="180"/>
    <n v="60"/>
    <n v="120"/>
    <n v="-15"/>
  </r>
  <r>
    <n v="2037"/>
    <s v="21"/>
    <s v="2037211ra"/>
    <s v="1ra"/>
    <m/>
    <n v="420"/>
    <m/>
    <m/>
    <n v="420"/>
    <n v="420"/>
    <n v="348"/>
    <n v="36"/>
    <n v="312"/>
    <n v="72"/>
  </r>
  <r>
    <n v="2037"/>
    <s v="21"/>
    <s v="2037212da"/>
    <s v="2da"/>
    <m/>
    <n v="510"/>
    <m/>
    <m/>
    <n v="510"/>
    <n v="510"/>
    <n v="450"/>
    <n v="45"/>
    <n v="405"/>
    <n v="60"/>
  </r>
  <r>
    <n v="2037"/>
    <s v="23"/>
    <s v="2037231ra"/>
    <s v="1ra"/>
    <m/>
    <n v="132"/>
    <m/>
    <m/>
    <n v="132"/>
    <n v="132"/>
    <n v="132"/>
    <n v="24"/>
    <n v="108"/>
    <n v="0"/>
  </r>
  <r>
    <n v="2037"/>
    <s v="23"/>
    <s v="2037232da"/>
    <s v="2da"/>
    <m/>
    <n v="165"/>
    <m/>
    <m/>
    <n v="165"/>
    <n v="165"/>
    <n v="180"/>
    <n v="45"/>
    <n v="135"/>
    <n v="-15"/>
  </r>
  <r>
    <n v="2502"/>
    <s v="01"/>
    <s v="2502011ra"/>
    <s v="1ra"/>
    <m/>
    <n v="600"/>
    <m/>
    <m/>
    <n v="600"/>
    <n v="600"/>
    <n v="480"/>
    <n v="90"/>
    <n v="375"/>
    <n v="120"/>
  </r>
  <r>
    <n v="2502"/>
    <s v="09"/>
    <s v="2502091ra"/>
    <s v="1ra"/>
    <m/>
    <n v="405"/>
    <m/>
    <m/>
    <n v="405"/>
    <n v="405"/>
    <n v="360"/>
    <n v="30"/>
    <n v="330"/>
    <n v="45"/>
  </r>
  <r>
    <s v="2510"/>
    <s v="05"/>
    <s v="2510051ra"/>
    <s v="1ra"/>
    <m/>
    <n v="432"/>
    <m/>
    <m/>
    <n v="432"/>
    <n v="432"/>
    <n v="360"/>
    <n v="48"/>
    <n v="312"/>
    <n v="72"/>
  </r>
  <r>
    <s v="2510"/>
    <s v="05"/>
    <s v="2510052da"/>
    <s v="2da"/>
    <m/>
    <n v="825"/>
    <m/>
    <m/>
    <n v="825"/>
    <n v="825"/>
    <n v="885"/>
    <n v="90"/>
    <n v="795"/>
    <n v="-60"/>
  </r>
  <r>
    <s v="2510"/>
    <s v="09"/>
    <s v="2510091ra"/>
    <s v="1ra"/>
    <m/>
    <n v="300"/>
    <m/>
    <m/>
    <n v="300"/>
    <n v="300"/>
    <n v="276"/>
    <n v="24"/>
    <n v="252"/>
    <n v="24"/>
  </r>
  <r>
    <s v="2510"/>
    <s v="09"/>
    <s v="2510092da"/>
    <s v="2da"/>
    <m/>
    <n v="345"/>
    <m/>
    <m/>
    <n v="345"/>
    <n v="345"/>
    <n v="390"/>
    <n v="30"/>
    <n v="345"/>
    <n v="-45"/>
  </r>
  <r>
    <s v="2589"/>
    <s v="01"/>
    <s v="2589011ra"/>
    <s v="1ra"/>
    <m/>
    <n v="300"/>
    <m/>
    <m/>
    <n v="300"/>
    <n v="300"/>
    <n v="240"/>
    <n v="36"/>
    <n v="204"/>
    <n v="60"/>
  </r>
  <r>
    <s v="2589"/>
    <s v="01"/>
    <s v="2589012da"/>
    <s v="2da"/>
    <m/>
    <n v="570"/>
    <m/>
    <m/>
    <n v="570"/>
    <n v="570"/>
    <n v="585"/>
    <n v="105"/>
    <n v="480"/>
    <n v="-15"/>
  </r>
  <r>
    <s v="2589"/>
    <s v="09"/>
    <s v="2589091ra"/>
    <s v="1ra"/>
    <m/>
    <n v="300"/>
    <m/>
    <m/>
    <n v="300"/>
    <n v="300"/>
    <n v="300"/>
    <n v="48"/>
    <n v="252"/>
    <n v="0"/>
  </r>
  <r>
    <s v="2589"/>
    <s v="09"/>
    <s v="2589092da"/>
    <s v="2da"/>
    <m/>
    <n v="405"/>
    <m/>
    <m/>
    <n v="405"/>
    <n v="405"/>
    <n v="465"/>
    <n v="60"/>
    <n v="405"/>
    <n v="-60"/>
  </r>
  <r>
    <n v="2592"/>
    <s v="01"/>
    <s v="2592011ra"/>
    <s v="1ra"/>
    <m/>
    <n v="405"/>
    <m/>
    <m/>
    <n v="405"/>
    <n v="405"/>
    <n v="465"/>
    <n v="60"/>
    <n v="404"/>
    <n v="-60"/>
  </r>
  <r>
    <n v="2592"/>
    <s v="02"/>
    <s v="2592021ra"/>
    <s v="1ra"/>
    <m/>
    <n v="450"/>
    <m/>
    <m/>
    <n v="450"/>
    <n v="450"/>
    <n v="495"/>
    <n v="45"/>
    <n v="450"/>
    <n v="-45"/>
  </r>
  <r>
    <n v="2903"/>
    <s v="01"/>
    <s v="2903012da"/>
    <s v="2da"/>
    <m/>
    <n v="255"/>
    <m/>
    <m/>
    <n v="255"/>
    <n v="255"/>
    <n v="195"/>
    <n v="75"/>
    <n v="165"/>
    <n v="60"/>
  </r>
  <r>
    <n v="2903"/>
    <s v="01"/>
    <s v="2903013ra"/>
    <s v="3ra"/>
    <m/>
    <n v="195"/>
    <m/>
    <m/>
    <n v="195"/>
    <n v="195"/>
    <n v="0"/>
    <n v="0"/>
    <n v="0"/>
    <n v="195"/>
  </r>
  <r>
    <n v="2903"/>
    <s v="02"/>
    <s v="2903022da"/>
    <s v="2da"/>
    <m/>
    <n v="270"/>
    <m/>
    <m/>
    <n v="270"/>
    <n v="270"/>
    <n v="225"/>
    <n v="30"/>
    <n v="240"/>
    <n v="45"/>
  </r>
  <r>
    <n v="2903"/>
    <s v="02"/>
    <s v="2903023ra"/>
    <s v="3ra"/>
    <m/>
    <n v="255"/>
    <m/>
    <m/>
    <n v="255"/>
    <n v="255"/>
    <n v="0"/>
    <n v="0"/>
    <n v="0"/>
    <n v="255"/>
  </r>
  <r>
    <n v="2903"/>
    <s v="20"/>
    <s v="2903202da"/>
    <s v="2da"/>
    <m/>
    <n v="270"/>
    <m/>
    <m/>
    <n v="270"/>
    <n v="270"/>
    <n v="210"/>
    <n v="45"/>
    <n v="180"/>
    <n v="60"/>
  </r>
  <r>
    <n v="2903"/>
    <s v="20"/>
    <s v="2903203ra"/>
    <s v="3ra"/>
    <m/>
    <n v="255"/>
    <m/>
    <m/>
    <n v="255"/>
    <n v="255"/>
    <n v="0"/>
    <n v="0"/>
    <n v="0"/>
    <n v="255"/>
  </r>
  <r>
    <s v="3016"/>
    <s v="02"/>
    <s v="3016021ra"/>
    <s v="1ra"/>
    <m/>
    <n v="300"/>
    <m/>
    <m/>
    <n v="300"/>
    <n v="300"/>
    <n v="240"/>
    <n v="12"/>
    <n v="216"/>
    <n v="60"/>
  </r>
  <r>
    <s v="3016"/>
    <s v="06"/>
    <s v="3016061ra"/>
    <s v="1ra"/>
    <m/>
    <n v="240"/>
    <m/>
    <m/>
    <n v="240"/>
    <n v="240"/>
    <n v="240"/>
    <n v="12"/>
    <n v="228"/>
    <n v="0"/>
  </r>
  <r>
    <s v="3016"/>
    <s v="20"/>
    <s v="3016201ra"/>
    <s v="1ra"/>
    <m/>
    <n v="144"/>
    <m/>
    <m/>
    <n v="144"/>
    <n v="144"/>
    <n v="144"/>
    <n v="0"/>
    <n v="120"/>
    <n v="0"/>
  </r>
  <r>
    <n v="3019"/>
    <s v="20"/>
    <s v="3019201ra"/>
    <s v="1ra"/>
    <m/>
    <n v="630"/>
    <m/>
    <m/>
    <n v="630"/>
    <n v="630"/>
    <n v="765"/>
    <n v="135"/>
    <n v="630"/>
    <n v="-135"/>
  </r>
  <r>
    <n v="3019"/>
    <s v="26"/>
    <s v="3019261ra"/>
    <s v="1ra"/>
    <m/>
    <n v="450"/>
    <m/>
    <m/>
    <n v="450"/>
    <n v="450"/>
    <n v="480"/>
    <n v="30"/>
    <n v="450"/>
    <n v="-30"/>
  </r>
  <r>
    <n v="3027"/>
    <s v="02"/>
    <s v="3027021ra"/>
    <s v="1ra"/>
    <m/>
    <n v="810"/>
    <m/>
    <m/>
    <n v="810"/>
    <n v="810"/>
    <n v="690"/>
    <n v="120"/>
    <n v="525"/>
    <n v="120"/>
  </r>
  <r>
    <n v="3027"/>
    <s v="04"/>
    <s v="3027041ra"/>
    <s v="1ra"/>
    <m/>
    <n v="450"/>
    <m/>
    <m/>
    <n v="450"/>
    <n v="450"/>
    <n v="465"/>
    <n v="45"/>
    <n v="420"/>
    <n v="-15"/>
  </r>
  <r>
    <n v="3027"/>
    <s v="06"/>
    <s v="3027061ra"/>
    <s v="1ra"/>
    <m/>
    <n v="390"/>
    <m/>
    <m/>
    <n v="390"/>
    <n v="390"/>
    <n v="360"/>
    <n v="30"/>
    <n v="330"/>
    <n v="30"/>
  </r>
  <r>
    <n v="3027"/>
    <s v="20"/>
    <s v="3027201ra"/>
    <s v="1ra"/>
    <m/>
    <n v="270"/>
    <m/>
    <m/>
    <n v="270"/>
    <n v="270"/>
    <n v="285"/>
    <n v="30"/>
    <n v="255"/>
    <n v="-15"/>
  </r>
  <r>
    <n v="3048"/>
    <s v="02"/>
    <s v="3048021ra"/>
    <s v="1ra"/>
    <m/>
    <n v="420"/>
    <m/>
    <m/>
    <n v="420"/>
    <n v="420"/>
    <n v="345"/>
    <n v="75"/>
    <n v="240"/>
    <n v="75"/>
  </r>
  <r>
    <n v="3048"/>
    <s v="06"/>
    <s v="3048061ra"/>
    <s v="1ra"/>
    <m/>
    <n v="270"/>
    <m/>
    <m/>
    <n v="270"/>
    <n v="270"/>
    <n v="270"/>
    <n v="60"/>
    <n v="180"/>
    <n v="0"/>
  </r>
  <r>
    <s v="3067"/>
    <s v="02"/>
    <s v="3067021ra"/>
    <s v="1ra"/>
    <m/>
    <n v="456"/>
    <m/>
    <m/>
    <n v="456"/>
    <n v="456"/>
    <n v="372"/>
    <n v="72"/>
    <n v="288"/>
    <n v="84"/>
  </r>
  <r>
    <s v="3067"/>
    <s v="21"/>
    <s v="3067211ra"/>
    <s v="1ra"/>
    <m/>
    <n v="324"/>
    <m/>
    <m/>
    <n v="324"/>
    <n v="324"/>
    <n v="288"/>
    <n v="24"/>
    <n v="264"/>
    <n v="36"/>
  </r>
  <r>
    <s v="3067"/>
    <s v="23"/>
    <s v="3067231ra"/>
    <s v="1ra"/>
    <m/>
    <n v="228"/>
    <m/>
    <m/>
    <n v="228"/>
    <n v="228"/>
    <n v="216"/>
    <n v="36"/>
    <n v="180"/>
    <n v="12"/>
  </r>
  <r>
    <s v="3071"/>
    <s v="02"/>
    <s v="3071021ra"/>
    <s v="1ra"/>
    <m/>
    <n v="552"/>
    <m/>
    <m/>
    <n v="552"/>
    <n v="552"/>
    <n v="432"/>
    <n v="96"/>
    <n v="324"/>
    <n v="120"/>
  </r>
  <r>
    <s v="3071"/>
    <s v="21"/>
    <s v="3071211ra"/>
    <s v="1ra"/>
    <m/>
    <n v="456"/>
    <m/>
    <m/>
    <n v="456"/>
    <n v="456"/>
    <n v="348"/>
    <n v="48"/>
    <n v="300"/>
    <n v="108"/>
  </r>
  <r>
    <s v="3071"/>
    <s v="23"/>
    <s v="3071231ra"/>
    <s v="1ra"/>
    <m/>
    <n v="300"/>
    <m/>
    <m/>
    <n v="300"/>
    <n v="300"/>
    <n v="180"/>
    <n v="36"/>
    <n v="144"/>
    <n v="120"/>
  </r>
  <r>
    <s v="3091"/>
    <s v="02"/>
    <s v="3091021ra"/>
    <s v="1ra"/>
    <m/>
    <n v="600"/>
    <m/>
    <m/>
    <n v="600"/>
    <n v="600"/>
    <n v="600"/>
    <n v="72"/>
    <n v="528"/>
    <n v="0"/>
  </r>
  <r>
    <s v="3091"/>
    <s v="21"/>
    <s v="3091211ra"/>
    <s v="1ra"/>
    <m/>
    <n v="528"/>
    <m/>
    <m/>
    <n v="528"/>
    <n v="528"/>
    <n v="504"/>
    <n v="24"/>
    <n v="480"/>
    <n v="24"/>
  </r>
  <r>
    <s v="3091"/>
    <s v="23"/>
    <s v="3091231ra"/>
    <s v="1ra"/>
    <m/>
    <n v="264"/>
    <m/>
    <m/>
    <n v="264"/>
    <n v="264"/>
    <n v="288"/>
    <n v="24"/>
    <n v="264"/>
    <n v="-24"/>
  </r>
  <r>
    <s v="3100"/>
    <s v="01"/>
    <s v="3100011ra"/>
    <s v="1ra"/>
    <m/>
    <n v="204.00000000000003"/>
    <m/>
    <m/>
    <n v="204.00000000000003"/>
    <n v="204.00000000000003"/>
    <n v="192"/>
    <n v="24"/>
    <n v="168"/>
    <n v="12.000000000000028"/>
  </r>
  <r>
    <s v="3100"/>
    <s v="02"/>
    <s v="3100021ra"/>
    <s v="1ra"/>
    <m/>
    <n v="396"/>
    <m/>
    <m/>
    <n v="396"/>
    <n v="396"/>
    <n v="336"/>
    <n v="36"/>
    <n v="300"/>
    <n v="60"/>
  </r>
  <r>
    <s v="3101"/>
    <s v="02"/>
    <s v="3101021ra"/>
    <s v="1ra"/>
    <m/>
    <n v="510"/>
    <m/>
    <m/>
    <n v="510"/>
    <n v="510"/>
    <n v="300"/>
    <n v="45"/>
    <n v="240"/>
    <n v="210"/>
  </r>
  <r>
    <s v="3101"/>
    <s v="05"/>
    <s v="3101051ra"/>
    <s v="1ra"/>
    <m/>
    <n v="255"/>
    <m/>
    <m/>
    <n v="255"/>
    <n v="255"/>
    <n v="180"/>
    <n v="15"/>
    <n v="165"/>
    <n v="75"/>
  </r>
  <r>
    <s v="3101"/>
    <s v="06"/>
    <s v="3101061ra"/>
    <s v="1ra"/>
    <m/>
    <n v="135"/>
    <m/>
    <m/>
    <n v="135"/>
    <n v="135"/>
    <n v="90"/>
    <n v="15"/>
    <n v="75"/>
    <n v="45"/>
  </r>
  <r>
    <s v="3104"/>
    <s v="02"/>
    <s v="3104021ra"/>
    <s v="1ra"/>
    <m/>
    <n v="420"/>
    <m/>
    <m/>
    <n v="420"/>
    <n v="420"/>
    <n v="240"/>
    <n v="30"/>
    <n v="210"/>
    <n v="180"/>
  </r>
  <r>
    <s v="3104"/>
    <s v="06"/>
    <s v="3104061ra"/>
    <s v="1ra"/>
    <m/>
    <n v="285"/>
    <m/>
    <m/>
    <n v="285"/>
    <n v="285"/>
    <n v="180"/>
    <n v="15"/>
    <n v="165"/>
    <n v="105"/>
  </r>
  <r>
    <s v="3105"/>
    <s v="02"/>
    <s v="3105021ra"/>
    <s v="1ra"/>
    <m/>
    <n v="315"/>
    <m/>
    <m/>
    <n v="315"/>
    <n v="315"/>
    <n v="240"/>
    <n v="0"/>
    <n v="240"/>
    <n v="75"/>
  </r>
  <r>
    <s v="3105"/>
    <s v="05"/>
    <s v="3105051ra"/>
    <s v="1ra"/>
    <m/>
    <n v="165"/>
    <m/>
    <m/>
    <n v="165"/>
    <n v="165"/>
    <n v="120"/>
    <n v="0"/>
    <n v="105"/>
    <n v="45"/>
  </r>
  <r>
    <s v="3105"/>
    <s v="06"/>
    <s v="3105061ra"/>
    <s v="1ra"/>
    <m/>
    <n v="285"/>
    <m/>
    <m/>
    <n v="285"/>
    <n v="285"/>
    <n v="240"/>
    <n v="0"/>
    <n v="210"/>
    <n v="45"/>
  </r>
  <r>
    <s v="3105"/>
    <s v="20"/>
    <s v="3105201ra"/>
    <s v="1ra"/>
    <m/>
    <n v="345"/>
    <m/>
    <m/>
    <n v="345"/>
    <n v="345"/>
    <n v="240"/>
    <n v="15"/>
    <n v="195"/>
    <n v="105"/>
  </r>
  <r>
    <s v="3710"/>
    <s v="01"/>
    <s v="3710011ra"/>
    <s v="1ra"/>
    <m/>
    <n v="675"/>
    <m/>
    <m/>
    <n v="675"/>
    <n v="675"/>
    <n v="780"/>
    <n v="105"/>
    <n v="675"/>
    <n v="-105"/>
  </r>
  <r>
    <s v="3710"/>
    <s v="02"/>
    <s v="3710021ra"/>
    <s v="1ra"/>
    <m/>
    <n v="645"/>
    <m/>
    <m/>
    <n v="645"/>
    <n v="645"/>
    <n v="690"/>
    <n v="45"/>
    <n v="645"/>
    <n v="-45"/>
  </r>
  <r>
    <s v="3710"/>
    <s v="13"/>
    <s v="3710131ra"/>
    <s v="1ra"/>
    <m/>
    <n v="495"/>
    <m/>
    <m/>
    <n v="495"/>
    <n v="495"/>
    <n v="570"/>
    <n v="90"/>
    <n v="495"/>
    <n v="-75"/>
  </r>
  <r>
    <s v="3724"/>
    <s v="00"/>
    <s v="3724001ra"/>
    <s v="1ra"/>
    <m/>
    <n v="630"/>
    <m/>
    <m/>
    <n v="630"/>
    <n v="630"/>
    <n v="570"/>
    <n v="60"/>
    <n v="510"/>
    <n v="60"/>
  </r>
  <r>
    <s v="3724"/>
    <s v="02"/>
    <s v="3724021ra"/>
    <s v="1ra"/>
    <m/>
    <n v="300"/>
    <m/>
    <m/>
    <n v="300"/>
    <n v="300"/>
    <n v="360"/>
    <n v="60"/>
    <n v="300"/>
    <n v="-60"/>
  </r>
  <r>
    <s v="3724"/>
    <s v="05"/>
    <s v="3724051ra"/>
    <s v="1ra"/>
    <m/>
    <n v="270"/>
    <m/>
    <m/>
    <n v="270"/>
    <n v="270"/>
    <n v="210"/>
    <n v="15"/>
    <n v="150"/>
    <n v="60"/>
  </r>
  <r>
    <s v="3747"/>
    <s v="02"/>
    <s v="3747021ra"/>
    <s v="1ra"/>
    <m/>
    <n v="1110"/>
    <m/>
    <m/>
    <n v="1110"/>
    <n v="1110"/>
    <n v="945"/>
    <n v="75"/>
    <n v="810"/>
    <n v="165"/>
  </r>
  <r>
    <s v="3747"/>
    <s v="21"/>
    <s v="3747211ra"/>
    <s v="1ra"/>
    <m/>
    <n v="705"/>
    <m/>
    <m/>
    <n v="705"/>
    <n v="705"/>
    <n v="570"/>
    <n v="60"/>
    <n v="450"/>
    <n v="135"/>
  </r>
  <r>
    <n v="3765"/>
    <s v="02"/>
    <s v="3765021ra"/>
    <s v="1ra"/>
    <m/>
    <n v="1005"/>
    <m/>
    <m/>
    <n v="1005"/>
    <n v="1005"/>
    <n v="585"/>
    <n v="180"/>
    <n v="360"/>
    <n v="420"/>
  </r>
  <r>
    <s v="4003"/>
    <s v="02"/>
    <s v="4003021ra"/>
    <s v="1ra"/>
    <m/>
    <n v="690"/>
    <m/>
    <m/>
    <n v="690"/>
    <n v="690"/>
    <n v="825"/>
    <n v="225"/>
    <n v="555"/>
    <n v="-135"/>
  </r>
  <r>
    <s v="4003"/>
    <s v="20"/>
    <s v="4003201ra"/>
    <s v="1ra"/>
    <m/>
    <n v="1095"/>
    <m/>
    <m/>
    <n v="1095"/>
    <n v="1095"/>
    <n v="945"/>
    <n v="225"/>
    <n v="720"/>
    <n v="150"/>
  </r>
  <r>
    <s v="4003"/>
    <s v="23"/>
    <s v="4003231ra"/>
    <s v="1ra"/>
    <m/>
    <n v="1245"/>
    <m/>
    <m/>
    <n v="1245"/>
    <n v="1245"/>
    <n v="1230"/>
    <n v="270"/>
    <n v="960"/>
    <n v="15"/>
  </r>
  <r>
    <s v="4004"/>
    <s v="02"/>
    <s v="4004021ra"/>
    <s v="1ra"/>
    <m/>
    <n v="540"/>
    <m/>
    <m/>
    <n v="540"/>
    <n v="540"/>
    <n v="630"/>
    <n v="240"/>
    <n v="360"/>
    <n v="-90"/>
  </r>
  <r>
    <s v="4004"/>
    <s v="06"/>
    <s v="4004061ra"/>
    <s v="1ra"/>
    <m/>
    <n v="405"/>
    <m/>
    <m/>
    <n v="405"/>
    <n v="405"/>
    <n v="345"/>
    <n v="15"/>
    <n v="300"/>
    <n v="60"/>
  </r>
  <r>
    <s v="4011"/>
    <s v="02"/>
    <s v="4011021ra"/>
    <s v="1ra"/>
    <m/>
    <n v="570"/>
    <m/>
    <m/>
    <n v="570"/>
    <n v="570"/>
    <n v="540"/>
    <n v="135"/>
    <n v="375"/>
    <n v="30"/>
  </r>
  <r>
    <s v="4011"/>
    <s v="05"/>
    <s v="4011051ra"/>
    <s v="1ra"/>
    <m/>
    <n v="390"/>
    <m/>
    <m/>
    <n v="390"/>
    <n v="390"/>
    <n v="285"/>
    <n v="120"/>
    <n v="165"/>
    <n v="105"/>
  </r>
  <r>
    <s v="4011"/>
    <s v="08"/>
    <s v="4011081ra"/>
    <s v="1ra"/>
    <m/>
    <n v="240"/>
    <m/>
    <m/>
    <n v="240"/>
    <n v="240"/>
    <n v="180"/>
    <n v="45"/>
    <n v="135"/>
    <n v="60"/>
  </r>
  <r>
    <s v="4019"/>
    <s v="02"/>
    <s v="4019021ra"/>
    <s v="1ra"/>
    <m/>
    <n v="585"/>
    <m/>
    <m/>
    <n v="585"/>
    <n v="585"/>
    <n v="420"/>
    <n v="90"/>
    <n v="285"/>
    <n v="165"/>
  </r>
  <r>
    <s v="4019"/>
    <s v="05"/>
    <s v="4019051ra"/>
    <s v="1ra"/>
    <m/>
    <n v="180"/>
    <m/>
    <m/>
    <n v="180"/>
    <n v="180"/>
    <n v="135"/>
    <n v="15"/>
    <n v="105"/>
    <n v="45"/>
  </r>
  <r>
    <s v="4019"/>
    <s v="21"/>
    <s v="4019211ra"/>
    <s v="1ra"/>
    <m/>
    <n v="390"/>
    <m/>
    <m/>
    <n v="390"/>
    <n v="390"/>
    <n v="255"/>
    <n v="45"/>
    <n v="195"/>
    <n v="135"/>
  </r>
  <r>
    <s v="4019"/>
    <s v="23"/>
    <s v="4019231ra"/>
    <s v="1ra"/>
    <m/>
    <n v="660"/>
    <m/>
    <m/>
    <n v="660"/>
    <n v="660"/>
    <n v="525"/>
    <n v="60"/>
    <n v="465"/>
    <n v="135"/>
  </r>
  <r>
    <s v="4020"/>
    <s v="02"/>
    <s v="4020021ra"/>
    <s v="1ra"/>
    <m/>
    <n v="615"/>
    <m/>
    <m/>
    <n v="615"/>
    <n v="615"/>
    <n v="465"/>
    <n v="45"/>
    <n v="375"/>
    <n v="150"/>
  </r>
  <r>
    <s v="4020"/>
    <s v="05"/>
    <s v="4020051ra"/>
    <s v="1ra"/>
    <m/>
    <n v="330"/>
    <m/>
    <m/>
    <n v="330"/>
    <n v="330"/>
    <n v="210"/>
    <n v="30"/>
    <n v="135"/>
    <n v="120"/>
  </r>
  <r>
    <s v="4020"/>
    <s v="13"/>
    <s v="4020131ra"/>
    <s v="1ra"/>
    <m/>
    <n v="465"/>
    <m/>
    <m/>
    <n v="465"/>
    <n v="465"/>
    <n v="375"/>
    <n v="0"/>
    <n v="345"/>
    <n v="90"/>
  </r>
  <r>
    <s v="5818"/>
    <s v="02"/>
    <s v="5818021ra"/>
    <s v="1ra"/>
    <m/>
    <n v="825"/>
    <m/>
    <m/>
    <n v="825"/>
    <n v="825"/>
    <n v="630"/>
    <n v="105"/>
    <n v="510"/>
    <n v="195"/>
  </r>
  <r>
    <s v="5818"/>
    <s v="05"/>
    <s v="5818051ra"/>
    <s v="1ra"/>
    <m/>
    <n v="510"/>
    <m/>
    <m/>
    <n v="510"/>
    <n v="510"/>
    <n v="495"/>
    <n v="90"/>
    <n v="375"/>
    <n v="15"/>
  </r>
  <r>
    <n v="5823"/>
    <s v="02"/>
    <s v="5823021ra"/>
    <s v="1ra"/>
    <m/>
    <n v="645"/>
    <m/>
    <m/>
    <n v="645"/>
    <n v="645"/>
    <n v="570"/>
    <n v="30"/>
    <n v="495"/>
    <n v="75"/>
  </r>
  <r>
    <n v="5823"/>
    <s v="11"/>
    <s v="5823111ra"/>
    <s v="1ra"/>
    <m/>
    <n v="555"/>
    <m/>
    <m/>
    <n v="555"/>
    <n v="555"/>
    <n v="585"/>
    <n v="30"/>
    <n v="510"/>
    <n v="-30"/>
  </r>
  <r>
    <n v="5826"/>
    <s v="02"/>
    <s v="5826021ra"/>
    <s v="1ra"/>
    <m/>
    <n v="510"/>
    <m/>
    <m/>
    <n v="510"/>
    <n v="510"/>
    <n v="495"/>
    <n v="15"/>
    <n v="435"/>
    <n v="15"/>
  </r>
  <r>
    <n v="5826"/>
    <s v="05"/>
    <s v="5826051ra"/>
    <s v="1ra"/>
    <m/>
    <n v="510"/>
    <m/>
    <m/>
    <n v="510"/>
    <n v="510"/>
    <n v="510"/>
    <n v="45"/>
    <n v="464"/>
    <n v="0"/>
  </r>
  <r>
    <n v="5826"/>
    <s v="09"/>
    <s v="5826091ra"/>
    <s v="1ra"/>
    <m/>
    <n v="300"/>
    <m/>
    <m/>
    <n v="300"/>
    <n v="300"/>
    <n v="315"/>
    <n v="30"/>
    <n v="285"/>
    <n v="-15"/>
  </r>
  <r>
    <n v="5834"/>
    <s v="01"/>
    <s v="5834011ra"/>
    <s v="1ra"/>
    <m/>
    <n v="600"/>
    <m/>
    <m/>
    <n v="600"/>
    <n v="600"/>
    <n v="585"/>
    <n v="15"/>
    <n v="495"/>
    <n v="15"/>
  </r>
  <r>
    <n v="5834"/>
    <s v="02"/>
    <s v="5834021ra"/>
    <s v="1ra"/>
    <m/>
    <n v="810"/>
    <m/>
    <m/>
    <n v="810"/>
    <n v="810"/>
    <n v="810"/>
    <n v="165"/>
    <n v="570"/>
    <n v="0"/>
  </r>
  <r>
    <n v="5835"/>
    <s v="01"/>
    <s v="5835011ra"/>
    <s v="1ra"/>
    <m/>
    <n v="600"/>
    <m/>
    <m/>
    <n v="600"/>
    <n v="600"/>
    <n v="240"/>
    <n v="15"/>
    <n v="225"/>
    <n v="360"/>
  </r>
  <r>
    <n v="5835"/>
    <s v="02"/>
    <s v="5835021ra"/>
    <s v="1ra"/>
    <m/>
    <n v="810"/>
    <m/>
    <m/>
    <n v="810"/>
    <n v="810"/>
    <n v="255"/>
    <n v="0"/>
    <n v="255"/>
    <n v="555"/>
  </r>
  <r>
    <n v="5841"/>
    <s v="01"/>
    <s v="5841011ra"/>
    <s v="1ra"/>
    <m/>
    <n v="0"/>
    <m/>
    <n v="510"/>
    <n v="510"/>
    <n v="510"/>
    <n v="375"/>
    <n v="60"/>
    <n v="0"/>
    <n v="135"/>
  </r>
  <r>
    <n v="5841"/>
    <s v="02"/>
    <s v="5841021ra"/>
    <s v="1ra"/>
    <m/>
    <n v="0"/>
    <m/>
    <n v="510"/>
    <n v="510"/>
    <n v="510"/>
    <n v="360"/>
    <n v="90"/>
    <n v="0"/>
    <n v="150"/>
  </r>
  <r>
    <n v="5841"/>
    <s v="20"/>
    <s v="5841201ra"/>
    <s v="1ra"/>
    <m/>
    <n v="0"/>
    <m/>
    <n v="510"/>
    <n v="510"/>
    <n v="510"/>
    <n v="345"/>
    <n v="60"/>
    <n v="0"/>
    <n v="165"/>
  </r>
  <r>
    <n v="5844"/>
    <s v="05"/>
    <s v="5844051ra"/>
    <s v="1ra"/>
    <m/>
    <n v="0"/>
    <m/>
    <n v="585"/>
    <n v="585"/>
    <n v="585"/>
    <n v="495"/>
    <n v="75"/>
    <n v="330"/>
    <n v="90"/>
  </r>
  <r>
    <n v="5844"/>
    <s v="11"/>
    <s v="5844111ra"/>
    <s v="1ra"/>
    <m/>
    <n v="0"/>
    <m/>
    <n v="540"/>
    <n v="540"/>
    <n v="540"/>
    <n v="390"/>
    <n v="105"/>
    <n v="195"/>
    <n v="150"/>
  </r>
  <r>
    <n v="5844"/>
    <s v="20"/>
    <s v="5844201ra"/>
    <s v="1ra"/>
    <m/>
    <n v="0"/>
    <m/>
    <n v="675"/>
    <n v="675"/>
    <n v="675"/>
    <n v="450"/>
    <n v="90"/>
    <n v="225"/>
    <n v="225"/>
  </r>
  <r>
    <s v="5850"/>
    <s v="01"/>
    <s v="5850011ra"/>
    <s v="1ra"/>
    <m/>
    <n v="855"/>
    <m/>
    <m/>
    <n v="855"/>
    <n v="855"/>
    <n v="660"/>
    <n v="60"/>
    <n v="705"/>
    <n v="195"/>
  </r>
  <r>
    <s v="5850"/>
    <s v="02"/>
    <s v="5850021ra"/>
    <s v="1ra"/>
    <m/>
    <n v="600"/>
    <m/>
    <m/>
    <n v="600"/>
    <n v="600"/>
    <n v="300"/>
    <n v="45"/>
    <n v="360"/>
    <n v="300"/>
  </r>
  <r>
    <n v="5852"/>
    <s v="02"/>
    <s v="5852021ra"/>
    <s v="1ra"/>
    <m/>
    <n v="0"/>
    <m/>
    <n v="540"/>
    <n v="540"/>
    <n v="540"/>
    <n v="435"/>
    <n v="105"/>
    <n v="225"/>
    <n v="105"/>
  </r>
  <r>
    <n v="5852"/>
    <s v="05"/>
    <s v="5852051ra"/>
    <s v="1ra"/>
    <m/>
    <n v="0"/>
    <m/>
    <n v="510"/>
    <n v="510"/>
    <n v="510"/>
    <n v="510"/>
    <n v="135"/>
    <n v="285"/>
    <n v="0"/>
  </r>
  <r>
    <n v="5852"/>
    <s v="11"/>
    <s v="5852111ra"/>
    <s v="1ra"/>
    <m/>
    <n v="0"/>
    <m/>
    <n v="450"/>
    <n v="450"/>
    <n v="450"/>
    <n v="420"/>
    <n v="165"/>
    <n v="165"/>
    <n v="30"/>
  </r>
  <r>
    <s v="5853"/>
    <s v="01"/>
    <s v="5853011ra"/>
    <s v="1ra"/>
    <m/>
    <n v="600"/>
    <m/>
    <m/>
    <n v="600"/>
    <n v="600"/>
    <n v="450"/>
    <n v="60"/>
    <n v="345"/>
    <n v="150"/>
  </r>
  <r>
    <s v="5853"/>
    <s v="02"/>
    <s v="5853021ra"/>
    <s v="1ra"/>
    <m/>
    <n v="600"/>
    <m/>
    <m/>
    <n v="600"/>
    <n v="600"/>
    <n v="275"/>
    <n v="15"/>
    <n v="230"/>
    <n v="325"/>
  </r>
  <r>
    <n v="5873"/>
    <s v="02"/>
    <s v="5873021ra"/>
    <s v="1ra"/>
    <m/>
    <n v="0"/>
    <m/>
    <n v="675"/>
    <n v="675"/>
    <n v="675"/>
    <n v="660"/>
    <n v="270"/>
    <n v="300"/>
    <n v="15"/>
  </r>
  <r>
    <n v="5873"/>
    <s v="11"/>
    <s v="5873111ra"/>
    <s v="1ra"/>
    <m/>
    <n v="0"/>
    <m/>
    <n v="660"/>
    <n v="660"/>
    <n v="660"/>
    <n v="540"/>
    <n v="180"/>
    <n v="255"/>
    <n v="120"/>
  </r>
  <r>
    <n v="5873"/>
    <s v="20"/>
    <s v="5873201ra"/>
    <s v="1ra"/>
    <m/>
    <n v="0"/>
    <m/>
    <n v="795"/>
    <n v="795"/>
    <n v="795"/>
    <n v="570"/>
    <n v="270"/>
    <n v="180"/>
    <n v="225"/>
  </r>
  <r>
    <s v="9004"/>
    <s v="02"/>
    <s v="9004021ra"/>
    <s v="1ra"/>
    <m/>
    <n v="720"/>
    <m/>
    <m/>
    <n v="720"/>
    <n v="720"/>
    <n v="780"/>
    <n v="60"/>
    <n v="719"/>
    <n v="-60"/>
  </r>
  <r>
    <s v="9004"/>
    <s v="16"/>
    <s v="9004161ra"/>
    <s v="1ra"/>
    <m/>
    <n v="585"/>
    <m/>
    <m/>
    <n v="585"/>
    <n v="585"/>
    <n v="540"/>
    <n v="120"/>
    <n v="420"/>
    <n v="45"/>
  </r>
  <r>
    <s v="9004"/>
    <s v="20"/>
    <s v="9004201ra"/>
    <s v="1ra"/>
    <m/>
    <n v="360"/>
    <m/>
    <m/>
    <n v="360"/>
    <n v="360"/>
    <n v="390"/>
    <n v="45"/>
    <n v="345"/>
    <n v="-30"/>
  </r>
  <r>
    <s v="9010"/>
    <s v="02"/>
    <s v="9010021ra"/>
    <s v="1ra"/>
    <m/>
    <n v="570"/>
    <m/>
    <m/>
    <n v="570"/>
    <n v="570"/>
    <n v="750"/>
    <n v="150"/>
    <n v="570"/>
    <n v="-180"/>
  </r>
  <r>
    <s v="9010"/>
    <s v="16"/>
    <s v="9010161ra"/>
    <s v="1ra"/>
    <m/>
    <n v="465"/>
    <m/>
    <m/>
    <n v="465"/>
    <n v="465"/>
    <n v="615"/>
    <n v="120"/>
    <n v="464"/>
    <n v="-150"/>
  </r>
  <r>
    <s v="9010"/>
    <s v="20"/>
    <s v="9010201ra"/>
    <s v="1ra"/>
    <m/>
    <n v="360"/>
    <m/>
    <m/>
    <n v="360"/>
    <n v="360"/>
    <n v="480"/>
    <n v="90"/>
    <n v="360"/>
    <n v="-120"/>
  </r>
  <r>
    <s v="9013"/>
    <s v="02"/>
    <s v="9013021ra"/>
    <s v="1ra"/>
    <m/>
    <n v="0"/>
    <m/>
    <m/>
    <n v="0"/>
    <n v="0"/>
    <n v="0"/>
    <n v="0"/>
    <n v="0"/>
    <n v="0"/>
  </r>
  <r>
    <s v="9013"/>
    <s v="16"/>
    <s v="9013161ra"/>
    <s v="1ra"/>
    <m/>
    <n v="0"/>
    <m/>
    <m/>
    <n v="0"/>
    <n v="0"/>
    <n v="0"/>
    <n v="0"/>
    <n v="0"/>
    <n v="0"/>
  </r>
  <r>
    <s v="9013"/>
    <s v="20"/>
    <s v="9013201ra"/>
    <s v="1ra"/>
    <m/>
    <n v="0"/>
    <m/>
    <m/>
    <n v="0"/>
    <n v="0"/>
    <n v="0"/>
    <n v="0"/>
    <n v="0"/>
    <n v="0"/>
  </r>
  <r>
    <s v="9469"/>
    <s v="08"/>
    <s v="9469081ra"/>
    <s v="1ra"/>
    <m/>
    <n v="300"/>
    <m/>
    <m/>
    <n v="300"/>
    <n v="300"/>
    <n v="240"/>
    <n v="60"/>
    <n v="180"/>
    <n v="60"/>
  </r>
  <r>
    <s v="9469"/>
    <s v="16"/>
    <s v="9469161ra"/>
    <s v="1ra"/>
    <m/>
    <n v="300"/>
    <m/>
    <m/>
    <n v="300"/>
    <n v="300"/>
    <n v="225"/>
    <n v="75"/>
    <n v="150"/>
    <n v="75"/>
  </r>
  <r>
    <s v="9470"/>
    <s v="03"/>
    <s v="9470031ra"/>
    <s v="1ra"/>
    <m/>
    <n v="300"/>
    <m/>
    <m/>
    <n v="300"/>
    <n v="300"/>
    <n v="135"/>
    <n v="30"/>
    <n v="105"/>
    <n v="165"/>
  </r>
  <r>
    <s v="9481"/>
    <s v="02"/>
    <s v="9481021ra"/>
    <s v="1ra"/>
    <m/>
    <n v="450"/>
    <m/>
    <m/>
    <n v="450"/>
    <n v="450"/>
    <n v="330"/>
    <n v="45"/>
    <n v="270"/>
    <n v="120"/>
  </r>
  <r>
    <s v="9481"/>
    <s v="03"/>
    <s v="9481031ra"/>
    <s v="1ra"/>
    <m/>
    <n v="360"/>
    <m/>
    <m/>
    <n v="360"/>
    <n v="360"/>
    <n v="300"/>
    <n v="45"/>
    <n v="240"/>
    <n v="60"/>
  </r>
  <r>
    <s v="9487"/>
    <s v="02"/>
    <s v="9487021ra"/>
    <s v="1ra"/>
    <m/>
    <n v="300"/>
    <m/>
    <m/>
    <n v="300"/>
    <n v="300"/>
    <n v="165"/>
    <n v="30"/>
    <n v="135"/>
    <n v="135"/>
  </r>
  <r>
    <s v="9487"/>
    <s v="16"/>
    <s v="9487161ra"/>
    <s v="1ra"/>
    <m/>
    <n v="300"/>
    <m/>
    <m/>
    <n v="300"/>
    <n v="300"/>
    <n v="270"/>
    <n v="30"/>
    <n v="240"/>
    <n v="30"/>
  </r>
  <r>
    <n v="9530"/>
    <s v="03"/>
    <s v="9530031ra"/>
    <s v="1ra"/>
    <m/>
    <n v="1005"/>
    <m/>
    <m/>
    <n v="1005"/>
    <n v="1005"/>
    <n v="345"/>
    <n v="45"/>
    <n v="285"/>
    <n v="660"/>
  </r>
  <r>
    <n v="9541"/>
    <s v="03"/>
    <s v="9541031ra"/>
    <s v="1ra"/>
    <m/>
    <n v="1500"/>
    <m/>
    <m/>
    <n v="1500"/>
    <n v="1500"/>
    <n v="615"/>
    <n v="105"/>
    <n v="510"/>
    <n v="885"/>
  </r>
  <r>
    <n v="9601"/>
    <s v="03"/>
    <s v="9601031ra"/>
    <s v="1ra"/>
    <m/>
    <n v="480"/>
    <m/>
    <m/>
    <n v="480"/>
    <n v="480"/>
    <n v="420"/>
    <n v="75"/>
    <n v="330"/>
    <n v="60"/>
  </r>
  <r>
    <n v="9601"/>
    <s v="05"/>
    <s v="9601051ra"/>
    <s v="1ra"/>
    <m/>
    <n v="870"/>
    <m/>
    <m/>
    <n v="870"/>
    <n v="870"/>
    <n v="825"/>
    <n v="135"/>
    <n v="674"/>
    <n v="45"/>
  </r>
  <r>
    <n v="9805"/>
    <s v="02"/>
    <s v="9805021ra"/>
    <s v="1ra"/>
    <m/>
    <n v="0"/>
    <m/>
    <n v="660"/>
    <n v="660"/>
    <n v="660"/>
    <n v="465"/>
    <n v="165"/>
    <n v="240"/>
    <n v="195"/>
  </r>
  <r>
    <n v="9805"/>
    <s v="11"/>
    <s v="9805111ra"/>
    <s v="1ra"/>
    <m/>
    <n v="0"/>
    <m/>
    <n v="600"/>
    <n v="600"/>
    <n v="600"/>
    <n v="570"/>
    <n v="165"/>
    <n v="345"/>
    <n v="30"/>
  </r>
  <r>
    <s v="9849"/>
    <s v="02"/>
    <s v="9849021ra"/>
    <s v="1ra"/>
    <m/>
    <n v="390"/>
    <m/>
    <n v="600"/>
    <n v="990"/>
    <n v="990"/>
    <n v="1050"/>
    <n v="164"/>
    <n v="720"/>
    <n v="-60"/>
  </r>
  <r>
    <s v="9849"/>
    <s v="05"/>
    <s v="9849051ra"/>
    <s v="1ra"/>
    <m/>
    <n v="435"/>
    <m/>
    <n v="495"/>
    <n v="930"/>
    <n v="930"/>
    <n v="1005"/>
    <n v="120"/>
    <n v="720"/>
    <n v="-75"/>
  </r>
  <r>
    <s v="9849"/>
    <s v="11"/>
    <s v="9849111ra"/>
    <s v="1ra"/>
    <m/>
    <n v="375"/>
    <m/>
    <n v="480"/>
    <n v="855"/>
    <n v="855"/>
    <n v="840"/>
    <n v="60"/>
    <n v="630"/>
    <n v="15"/>
  </r>
  <r>
    <s v="9875"/>
    <s v="02"/>
    <s v="9875021ra"/>
    <s v="1ra"/>
    <m/>
    <n v="456"/>
    <m/>
    <m/>
    <n v="456"/>
    <n v="456"/>
    <n v="468"/>
    <n v="60"/>
    <n v="397"/>
    <n v="-12"/>
  </r>
  <r>
    <s v="9875"/>
    <s v="02"/>
    <s v="9875022da"/>
    <s v="2da"/>
    <m/>
    <n v="990"/>
    <m/>
    <m/>
    <n v="990"/>
    <n v="990"/>
    <n v="1005"/>
    <n v="75"/>
    <n v="941"/>
    <n v="-15"/>
  </r>
  <r>
    <s v="9875"/>
    <s v="08"/>
    <s v="9875081ra"/>
    <s v="1ra"/>
    <m/>
    <n v="396"/>
    <m/>
    <m/>
    <n v="396"/>
    <n v="396"/>
    <n v="372"/>
    <n v="36"/>
    <n v="324"/>
    <n v="24"/>
  </r>
  <r>
    <s v="9875"/>
    <s v="08"/>
    <s v="9875082da"/>
    <s v="2da"/>
    <m/>
    <n v="1245"/>
    <m/>
    <m/>
    <n v="1245"/>
    <n v="1245"/>
    <n v="1260"/>
    <n v="180"/>
    <n v="1035"/>
    <n v="-15"/>
  </r>
  <r>
    <n v="9881"/>
    <s v="03"/>
    <s v="9881031ra"/>
    <s v="1ra"/>
    <m/>
    <n v="720"/>
    <m/>
    <m/>
    <n v="720"/>
    <n v="720"/>
    <n v="660"/>
    <n v="75"/>
    <n v="570"/>
    <n v="60"/>
  </r>
  <r>
    <n v="9881"/>
    <s v="05"/>
    <s v="9881051ra"/>
    <s v="1ra"/>
    <m/>
    <n v="510"/>
    <m/>
    <m/>
    <n v="510"/>
    <n v="510"/>
    <n v="450"/>
    <n v="60"/>
    <n v="390"/>
    <n v="60"/>
  </r>
  <r>
    <n v="9881"/>
    <s v="08"/>
    <s v="9881081ra"/>
    <s v="1ra"/>
    <m/>
    <n v="405"/>
    <m/>
    <m/>
    <n v="405"/>
    <n v="405"/>
    <n v="375"/>
    <n v="60"/>
    <n v="300"/>
    <n v="30"/>
  </r>
  <r>
    <n v="9883"/>
    <s v="02"/>
    <s v="9883021ra"/>
    <s v="1ra"/>
    <m/>
    <n v="0"/>
    <m/>
    <n v="510"/>
    <n v="510"/>
    <n v="510"/>
    <n v="405"/>
    <n v="30"/>
    <n v="0"/>
    <n v="105"/>
  </r>
  <r>
    <n v="9883"/>
    <s v="05"/>
    <s v="9883051ra"/>
    <s v="1ra"/>
    <m/>
    <n v="0"/>
    <m/>
    <n v="510"/>
    <n v="510"/>
    <n v="510"/>
    <n v="450"/>
    <n v="45"/>
    <n v="0"/>
    <n v="60"/>
  </r>
  <r>
    <n v="9883"/>
    <s v="11"/>
    <s v="9883111ra"/>
    <s v="1ra"/>
    <m/>
    <n v="0"/>
    <m/>
    <n v="510"/>
    <n v="510"/>
    <n v="510"/>
    <n v="360"/>
    <n v="60"/>
    <n v="0"/>
    <n v="150"/>
  </r>
  <r>
    <s v="9910"/>
    <s v="01"/>
    <s v="9910011ra"/>
    <s v="1ra"/>
    <m/>
    <n v="144"/>
    <m/>
    <m/>
    <n v="144"/>
    <n v="144"/>
    <n v="96"/>
    <n v="24"/>
    <n v="72"/>
    <n v="48"/>
  </r>
  <r>
    <s v="9910"/>
    <s v="01"/>
    <s v="9910012da"/>
    <s v="2da"/>
    <m/>
    <n v="264"/>
    <m/>
    <m/>
    <n v="264"/>
    <n v="264"/>
    <n v="156"/>
    <n v="24"/>
    <n v="132"/>
    <n v="108"/>
  </r>
  <r>
    <s v="9910"/>
    <s v="15"/>
    <s v="9910151ra"/>
    <s v="1ra"/>
    <m/>
    <n v="228"/>
    <m/>
    <m/>
    <n v="228"/>
    <n v="228"/>
    <n v="120"/>
    <n v="24"/>
    <n v="96"/>
    <n v="108"/>
  </r>
  <r>
    <s v="9910"/>
    <s v="15"/>
    <s v="9910152da"/>
    <s v="2da"/>
    <m/>
    <n v="372"/>
    <m/>
    <m/>
    <n v="372"/>
    <n v="372"/>
    <n v="240"/>
    <n v="36"/>
    <n v="204"/>
    <n v="132"/>
  </r>
  <r>
    <s v="9911"/>
    <s v="01"/>
    <s v="9911013ra"/>
    <s v="3ra"/>
    <m/>
    <n v="375"/>
    <m/>
    <m/>
    <n v="375"/>
    <n v="375"/>
    <n v="0"/>
    <n v="0"/>
    <n v="0"/>
    <n v="375"/>
  </r>
  <r>
    <s v="9911"/>
    <s v="01"/>
    <s v="9911014ta"/>
    <s v="4ta"/>
    <m/>
    <n v="228"/>
    <m/>
    <m/>
    <n v="228"/>
    <n v="228"/>
    <n v="0"/>
    <n v="0"/>
    <n v="0"/>
    <n v="228"/>
  </r>
  <r>
    <s v="9911"/>
    <s v="02"/>
    <s v="9911023ra"/>
    <s v="3ra"/>
    <m/>
    <n v="360"/>
    <m/>
    <m/>
    <n v="360"/>
    <n v="360"/>
    <n v="0"/>
    <n v="0"/>
    <n v="0"/>
    <n v="360"/>
  </r>
  <r>
    <s v="9911"/>
    <s v="02"/>
    <s v="9911024ta"/>
    <s v="4ta"/>
    <m/>
    <n v="240"/>
    <m/>
    <m/>
    <n v="240"/>
    <n v="240"/>
    <n v="0"/>
    <n v="0"/>
    <n v="0"/>
    <n v="240"/>
  </r>
  <r>
    <s v="9912"/>
    <s v="01"/>
    <s v="9912013ra"/>
    <s v="3ra"/>
    <m/>
    <n v="180"/>
    <m/>
    <m/>
    <n v="180"/>
    <n v="180"/>
    <n v="0"/>
    <n v="0"/>
    <n v="0"/>
    <n v="180"/>
  </r>
  <r>
    <s v="9912"/>
    <s v="01"/>
    <s v="9912014ta"/>
    <s v="4ta"/>
    <m/>
    <n v="120"/>
    <m/>
    <m/>
    <n v="120"/>
    <n v="120"/>
    <n v="0"/>
    <n v="0"/>
    <n v="0"/>
    <n v="120"/>
  </r>
  <r>
    <s v="9912"/>
    <s v="02"/>
    <s v="9912023ra"/>
    <s v="3ra"/>
    <m/>
    <n v="210"/>
    <m/>
    <m/>
    <n v="210"/>
    <n v="210"/>
    <n v="0"/>
    <n v="0"/>
    <n v="0"/>
    <n v="210"/>
  </r>
  <r>
    <s v="9912"/>
    <s v="02"/>
    <s v="9912024ta"/>
    <s v="4ta"/>
    <m/>
    <n v="312"/>
    <m/>
    <m/>
    <n v="312"/>
    <n v="312"/>
    <n v="0"/>
    <n v="0"/>
    <n v="0"/>
    <n v="312"/>
  </r>
  <r>
    <s v="9913"/>
    <s v="14"/>
    <s v="9913142da"/>
    <s v="2da"/>
    <m/>
    <n v="435"/>
    <m/>
    <m/>
    <n v="435"/>
    <n v="435"/>
    <n v="195"/>
    <n v="60"/>
    <n v="135"/>
    <n v="240"/>
  </r>
  <r>
    <s v="9913"/>
    <s v="14"/>
    <s v="9913143ra"/>
    <s v="3ra"/>
    <m/>
    <n v="372"/>
    <m/>
    <m/>
    <n v="372"/>
    <n v="372"/>
    <n v="120"/>
    <n v="36"/>
    <n v="84"/>
    <n v="252"/>
  </r>
  <r>
    <s v="9914"/>
    <s v="14"/>
    <s v="9914142da"/>
    <s v="2da"/>
    <m/>
    <n v="375"/>
    <m/>
    <m/>
    <n v="375"/>
    <n v="375"/>
    <n v="105"/>
    <n v="30"/>
    <n v="60"/>
    <n v="270"/>
  </r>
  <r>
    <s v="9914"/>
    <s v="14"/>
    <s v="9914143ra"/>
    <s v="3ra"/>
    <m/>
    <n v="432"/>
    <m/>
    <m/>
    <n v="432"/>
    <n v="432"/>
    <n v="108"/>
    <n v="48"/>
    <n v="60"/>
    <n v="3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6AD43D-663A-4303-98E1-9733A5D140D3}" name="TablaDinámica8" cacheId="13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3:D5" firstHeaderRow="1" firstDataRow="2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a de Compra" fld="5" baseField="0" baseItem="0"/>
    <dataField name="Suma de PEDIDOS" fld="10" baseField="0" baseItem="0"/>
    <dataField name="Suma de FACTURACION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DE1272-9F04-49FC-8660-E0981C2EC33F}" name="TablaDinámica10" cacheId="13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F3:I5" firstHeaderRow="1" firstDataRow="2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a de COMPRA total" fld="8" baseField="0" baseItem="0"/>
    <dataField name="Suma de PEDIDOS" fld="10" baseField="0" baseItem="0"/>
    <dataField name="Suma de FACTURACION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D822D5-8529-4D8A-A166-61DD6469B62F}" name="TablaDinámica9" cacheId="1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13:D15" firstHeaderRow="1" firstDataRow="2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a de Compra" fld="5" baseField="0" baseItem="0"/>
    <dataField name="Suma de PEDIDOS" fld="8" baseField="0" baseItem="0"/>
    <dataField name="Suma de FACTURACION" fld="9" baseField="0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670B8-C5AD-42A6-9062-ACBE5EE90B64}">
  <dimension ref="A2:I17"/>
  <sheetViews>
    <sheetView tabSelected="1" workbookViewId="0">
      <selection activeCell="K10" sqref="K9:K10"/>
    </sheetView>
  </sheetViews>
  <sheetFormatPr baseColWidth="10" defaultRowHeight="15" x14ac:dyDescent="0.25"/>
  <cols>
    <col min="1" max="1" width="5.42578125" bestFit="1" customWidth="1"/>
    <col min="2" max="2" width="16.42578125" bestFit="1" customWidth="1"/>
    <col min="3" max="3" width="17.5703125" bestFit="1" customWidth="1"/>
    <col min="4" max="4" width="22.5703125" bestFit="1" customWidth="1"/>
    <col min="6" max="6" width="5.42578125" bestFit="1" customWidth="1"/>
    <col min="7" max="7" width="32.42578125" customWidth="1"/>
    <col min="8" max="8" width="17.5703125" bestFit="1" customWidth="1"/>
    <col min="9" max="9" width="22.5703125" bestFit="1" customWidth="1"/>
  </cols>
  <sheetData>
    <row r="2" spans="1:9" x14ac:dyDescent="0.25">
      <c r="B2" s="5" t="s">
        <v>594</v>
      </c>
      <c r="G2" s="5" t="s">
        <v>592</v>
      </c>
    </row>
    <row r="3" spans="1:9" x14ac:dyDescent="0.25">
      <c r="B3" s="1" t="s">
        <v>201</v>
      </c>
      <c r="G3" s="1" t="s">
        <v>201</v>
      </c>
    </row>
    <row r="4" spans="1:9" x14ac:dyDescent="0.25">
      <c r="B4" t="s">
        <v>199</v>
      </c>
      <c r="C4" t="s">
        <v>203</v>
      </c>
      <c r="D4" t="s">
        <v>202</v>
      </c>
      <c r="G4" t="s">
        <v>591</v>
      </c>
      <c r="H4" t="s">
        <v>203</v>
      </c>
      <c r="I4" t="s">
        <v>202</v>
      </c>
    </row>
    <row r="5" spans="1:9" x14ac:dyDescent="0.25">
      <c r="A5" t="s">
        <v>200</v>
      </c>
      <c r="B5" s="3">
        <v>75504</v>
      </c>
      <c r="C5" s="3">
        <v>56202</v>
      </c>
      <c r="D5" s="3">
        <v>36696</v>
      </c>
      <c r="F5" t="s">
        <v>200</v>
      </c>
      <c r="G5" s="3">
        <v>74442</v>
      </c>
      <c r="H5" s="3">
        <v>60929</v>
      </c>
      <c r="I5" s="3">
        <v>46581</v>
      </c>
    </row>
    <row r="6" spans="1:9" x14ac:dyDescent="0.25">
      <c r="B6" s="3"/>
      <c r="C6" s="3">
        <f>GETPIVOTDATA("Suma de Compra",$A$3)-GETPIVOTDATA("Suma de PEDIDOS",$A$3)</f>
        <v>19302</v>
      </c>
      <c r="D6" s="3">
        <f>GETPIVOTDATA("Suma de Compra",$A$3)-GETPIVOTDATA("Suma de FACTURACION",$A$3)</f>
        <v>38808</v>
      </c>
      <c r="G6" s="3"/>
      <c r="H6" s="3">
        <f>GETPIVOTDATA("Suma de COMPRA total",$F$3)-GETPIVOTDATA("Suma de PEDIDOS",$F$3)</f>
        <v>13513</v>
      </c>
      <c r="I6" s="3">
        <f>GETPIVOTDATA("Suma de COMPRA total",$F$3)-GETPIVOTDATA("Suma de FACTURACION",$F$3)</f>
        <v>27861</v>
      </c>
    </row>
    <row r="7" spans="1:9" x14ac:dyDescent="0.25">
      <c r="B7" s="5" t="s">
        <v>410</v>
      </c>
      <c r="C7" s="2">
        <f>C6/GETPIVOTDATA("Suma de Compra",$A$3)</f>
        <v>0.25564208518753972</v>
      </c>
      <c r="D7" s="2">
        <f>D6/GETPIVOTDATA("Suma de Compra",$A$3)</f>
        <v>0.51398601398601396</v>
      </c>
      <c r="E7" s="2"/>
      <c r="G7" s="5" t="s">
        <v>410</v>
      </c>
      <c r="H7" s="2">
        <f>H6/GETPIVOTDATA("Suma de COMPRA total",$F$3)</f>
        <v>0.18152387093307543</v>
      </c>
      <c r="I7" s="8">
        <f>I6/GETPIVOTDATA("Suma de COMPRA total",$F$3)</f>
        <v>0.37426452808898203</v>
      </c>
    </row>
    <row r="8" spans="1:9" x14ac:dyDescent="0.25">
      <c r="E8" s="4"/>
    </row>
    <row r="12" spans="1:9" x14ac:dyDescent="0.25">
      <c r="B12" s="5" t="s">
        <v>593</v>
      </c>
    </row>
    <row r="13" spans="1:9" x14ac:dyDescent="0.25">
      <c r="B13" s="1" t="s">
        <v>201</v>
      </c>
    </row>
    <row r="14" spans="1:9" x14ac:dyDescent="0.25">
      <c r="B14" t="s">
        <v>199</v>
      </c>
      <c r="C14" t="s">
        <v>203</v>
      </c>
      <c r="D14" t="s">
        <v>202</v>
      </c>
    </row>
    <row r="15" spans="1:9" x14ac:dyDescent="0.25">
      <c r="A15" t="s">
        <v>200</v>
      </c>
      <c r="B15" s="3">
        <v>67596</v>
      </c>
      <c r="C15" s="3">
        <v>66192</v>
      </c>
      <c r="D15" s="3">
        <v>55206</v>
      </c>
    </row>
    <row r="16" spans="1:9" x14ac:dyDescent="0.25">
      <c r="B16" s="3"/>
      <c r="C16" s="3">
        <f>GETPIVOTDATA("Suma de Compra",$A$13)-GETPIVOTDATA("Suma de PEDIDOS",$A$13)</f>
        <v>1404</v>
      </c>
      <c r="D16" s="3">
        <f>GETPIVOTDATA("Suma de Compra",$A$13)-GETPIVOTDATA("Suma de FACTURACION",$A$13)</f>
        <v>12390</v>
      </c>
    </row>
    <row r="17" spans="2:4" x14ac:dyDescent="0.25">
      <c r="B17" s="5" t="s">
        <v>410</v>
      </c>
      <c r="C17" s="2">
        <f>C16/GETPIVOTDATA("Suma de Compra",$A$13)</f>
        <v>2.0770459790520147E-2</v>
      </c>
      <c r="D17" s="2">
        <f>D16/GETPIVOTDATA("Suma de Compra",$A$13)</f>
        <v>0.18329486951890644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A19EF-E4ED-47D7-B76C-C02F7D69C9AD}">
  <dimension ref="A1:N159"/>
  <sheetViews>
    <sheetView workbookViewId="0">
      <selection activeCell="K18" sqref="K18"/>
    </sheetView>
  </sheetViews>
  <sheetFormatPr baseColWidth="10" defaultRowHeight="15" x14ac:dyDescent="0.25"/>
  <cols>
    <col min="1" max="1" width="11.42578125" style="6"/>
    <col min="12" max="12" width="11" customWidth="1"/>
  </cols>
  <sheetData>
    <row r="1" spans="1:14" x14ac:dyDescent="0.25">
      <c r="A1" s="6" t="s">
        <v>7</v>
      </c>
      <c r="B1" t="s">
        <v>8</v>
      </c>
      <c r="C1" t="s">
        <v>9</v>
      </c>
      <c r="D1" t="s">
        <v>10</v>
      </c>
      <c r="E1" t="s">
        <v>0</v>
      </c>
      <c r="F1" t="s">
        <v>1</v>
      </c>
      <c r="G1" t="s">
        <v>2</v>
      </c>
      <c r="H1" t="s">
        <v>2</v>
      </c>
      <c r="I1" t="s">
        <v>590</v>
      </c>
      <c r="J1" t="s">
        <v>3</v>
      </c>
      <c r="K1" t="s">
        <v>4</v>
      </c>
      <c r="L1" t="s">
        <v>411</v>
      </c>
      <c r="M1" t="s">
        <v>5</v>
      </c>
      <c r="N1" t="s">
        <v>6</v>
      </c>
    </row>
    <row r="2" spans="1:14" x14ac:dyDescent="0.25">
      <c r="A2" s="6">
        <v>2126</v>
      </c>
      <c r="B2" t="s">
        <v>17</v>
      </c>
      <c r="C2" t="s">
        <v>412</v>
      </c>
      <c r="D2" t="s">
        <v>14</v>
      </c>
      <c r="E2">
        <v>804</v>
      </c>
      <c r="F2">
        <v>0</v>
      </c>
      <c r="J2">
        <v>804</v>
      </c>
      <c r="K2">
        <v>36</v>
      </c>
      <c r="L2">
        <v>36</v>
      </c>
      <c r="M2">
        <v>24</v>
      </c>
      <c r="N2">
        <v>768</v>
      </c>
    </row>
    <row r="3" spans="1:14" x14ac:dyDescent="0.25">
      <c r="A3" s="6">
        <v>2037</v>
      </c>
      <c r="B3" t="s">
        <v>17</v>
      </c>
      <c r="C3" t="s">
        <v>413</v>
      </c>
      <c r="D3" t="s">
        <v>14</v>
      </c>
      <c r="F3">
        <v>132</v>
      </c>
      <c r="I3">
        <f>+H3+G3+F3</f>
        <v>132</v>
      </c>
      <c r="J3">
        <v>132</v>
      </c>
      <c r="K3">
        <v>132</v>
      </c>
      <c r="L3">
        <v>24</v>
      </c>
      <c r="M3">
        <v>108</v>
      </c>
      <c r="N3">
        <v>0</v>
      </c>
    </row>
    <row r="4" spans="1:14" x14ac:dyDescent="0.25">
      <c r="A4" s="6">
        <v>2037</v>
      </c>
      <c r="B4" t="s">
        <v>17</v>
      </c>
      <c r="C4" t="s">
        <v>414</v>
      </c>
      <c r="D4" t="s">
        <v>16</v>
      </c>
      <c r="F4">
        <v>165</v>
      </c>
      <c r="I4">
        <f t="shared" ref="I4:I56" si="0">+H4+G4+F4</f>
        <v>165</v>
      </c>
      <c r="J4">
        <v>165</v>
      </c>
      <c r="K4">
        <v>180</v>
      </c>
      <c r="L4">
        <v>60</v>
      </c>
      <c r="M4">
        <v>120</v>
      </c>
      <c r="N4">
        <v>-15</v>
      </c>
    </row>
    <row r="5" spans="1:14" x14ac:dyDescent="0.25">
      <c r="A5" s="6">
        <v>2037</v>
      </c>
      <c r="B5" t="s">
        <v>22</v>
      </c>
      <c r="C5" t="s">
        <v>415</v>
      </c>
      <c r="D5" t="s">
        <v>14</v>
      </c>
      <c r="F5">
        <v>420</v>
      </c>
      <c r="I5">
        <f t="shared" si="0"/>
        <v>420</v>
      </c>
      <c r="J5">
        <v>420</v>
      </c>
      <c r="K5">
        <v>348</v>
      </c>
      <c r="L5">
        <v>36</v>
      </c>
      <c r="M5">
        <v>312</v>
      </c>
      <c r="N5">
        <v>72</v>
      </c>
    </row>
    <row r="6" spans="1:14" x14ac:dyDescent="0.25">
      <c r="A6" s="6">
        <v>2037</v>
      </c>
      <c r="B6" t="s">
        <v>22</v>
      </c>
      <c r="C6" t="s">
        <v>416</v>
      </c>
      <c r="D6" t="s">
        <v>16</v>
      </c>
      <c r="F6">
        <v>510</v>
      </c>
      <c r="I6">
        <f t="shared" si="0"/>
        <v>510</v>
      </c>
      <c r="J6">
        <v>510</v>
      </c>
      <c r="K6">
        <v>450</v>
      </c>
      <c r="L6">
        <v>45</v>
      </c>
      <c r="M6">
        <v>405</v>
      </c>
      <c r="N6">
        <v>60</v>
      </c>
    </row>
    <row r="7" spans="1:14" x14ac:dyDescent="0.25">
      <c r="A7" s="6">
        <v>2037</v>
      </c>
      <c r="B7" t="s">
        <v>57</v>
      </c>
      <c r="C7" t="s">
        <v>417</v>
      </c>
      <c r="D7" t="s">
        <v>14</v>
      </c>
      <c r="F7">
        <v>132</v>
      </c>
      <c r="I7">
        <f t="shared" si="0"/>
        <v>132</v>
      </c>
      <c r="J7">
        <v>132</v>
      </c>
      <c r="K7">
        <v>132</v>
      </c>
      <c r="L7">
        <v>24</v>
      </c>
      <c r="M7">
        <v>108</v>
      </c>
      <c r="N7">
        <v>0</v>
      </c>
    </row>
    <row r="8" spans="1:14" x14ac:dyDescent="0.25">
      <c r="A8" s="6">
        <v>2037</v>
      </c>
      <c r="B8" t="s">
        <v>57</v>
      </c>
      <c r="C8" t="s">
        <v>418</v>
      </c>
      <c r="D8" t="s">
        <v>16</v>
      </c>
      <c r="F8">
        <v>165</v>
      </c>
      <c r="I8">
        <f t="shared" si="0"/>
        <v>165</v>
      </c>
      <c r="J8">
        <v>165</v>
      </c>
      <c r="K8">
        <v>180</v>
      </c>
      <c r="L8">
        <v>45</v>
      </c>
      <c r="M8">
        <v>135</v>
      </c>
      <c r="N8">
        <v>-15</v>
      </c>
    </row>
    <row r="9" spans="1:14" x14ac:dyDescent="0.25">
      <c r="A9" s="6">
        <v>2502</v>
      </c>
      <c r="B9" t="s">
        <v>12</v>
      </c>
      <c r="C9" t="s">
        <v>419</v>
      </c>
      <c r="D9" t="s">
        <v>14</v>
      </c>
      <c r="F9">
        <v>600</v>
      </c>
      <c r="I9">
        <f t="shared" si="0"/>
        <v>600</v>
      </c>
      <c r="J9">
        <v>600</v>
      </c>
      <c r="K9">
        <v>480</v>
      </c>
      <c r="L9">
        <v>90</v>
      </c>
      <c r="M9">
        <v>375</v>
      </c>
      <c r="N9">
        <v>120</v>
      </c>
    </row>
    <row r="10" spans="1:14" x14ac:dyDescent="0.25">
      <c r="A10" s="6">
        <v>2502</v>
      </c>
      <c r="B10" t="s">
        <v>26</v>
      </c>
      <c r="C10" t="s">
        <v>420</v>
      </c>
      <c r="D10" t="s">
        <v>14</v>
      </c>
      <c r="F10">
        <v>405</v>
      </c>
      <c r="I10">
        <f t="shared" si="0"/>
        <v>405</v>
      </c>
      <c r="J10">
        <v>405</v>
      </c>
      <c r="K10">
        <v>360</v>
      </c>
      <c r="L10">
        <v>30</v>
      </c>
      <c r="M10">
        <v>330</v>
      </c>
      <c r="N10">
        <v>45</v>
      </c>
    </row>
    <row r="11" spans="1:14" x14ac:dyDescent="0.25">
      <c r="A11" s="6" t="s">
        <v>421</v>
      </c>
      <c r="B11" t="s">
        <v>34</v>
      </c>
      <c r="C11" t="s">
        <v>422</v>
      </c>
      <c r="D11" t="s">
        <v>14</v>
      </c>
      <c r="F11">
        <v>432</v>
      </c>
      <c r="I11">
        <f t="shared" si="0"/>
        <v>432</v>
      </c>
      <c r="J11">
        <v>432</v>
      </c>
      <c r="K11">
        <v>360</v>
      </c>
      <c r="L11">
        <v>48</v>
      </c>
      <c r="M11">
        <v>312</v>
      </c>
      <c r="N11">
        <v>72</v>
      </c>
    </row>
    <row r="12" spans="1:14" x14ac:dyDescent="0.25">
      <c r="A12" s="6" t="s">
        <v>421</v>
      </c>
      <c r="B12" t="s">
        <v>34</v>
      </c>
      <c r="C12" t="s">
        <v>423</v>
      </c>
      <c r="D12" t="s">
        <v>16</v>
      </c>
      <c r="F12">
        <v>825</v>
      </c>
      <c r="I12">
        <f t="shared" si="0"/>
        <v>825</v>
      </c>
      <c r="J12">
        <v>825</v>
      </c>
      <c r="K12">
        <v>885</v>
      </c>
      <c r="L12">
        <v>90</v>
      </c>
      <c r="M12">
        <v>795</v>
      </c>
      <c r="N12">
        <v>-60</v>
      </c>
    </row>
    <row r="13" spans="1:14" x14ac:dyDescent="0.25">
      <c r="A13" s="6" t="s">
        <v>421</v>
      </c>
      <c r="B13" t="s">
        <v>26</v>
      </c>
      <c r="C13" t="s">
        <v>424</v>
      </c>
      <c r="D13" t="s">
        <v>14</v>
      </c>
      <c r="F13">
        <v>300</v>
      </c>
      <c r="I13">
        <f t="shared" si="0"/>
        <v>300</v>
      </c>
      <c r="J13">
        <v>300</v>
      </c>
      <c r="K13">
        <v>276</v>
      </c>
      <c r="L13">
        <v>24</v>
      </c>
      <c r="M13">
        <v>252</v>
      </c>
      <c r="N13">
        <v>24</v>
      </c>
    </row>
    <row r="14" spans="1:14" x14ac:dyDescent="0.25">
      <c r="A14" s="6" t="s">
        <v>421</v>
      </c>
      <c r="B14" t="s">
        <v>26</v>
      </c>
      <c r="C14" t="s">
        <v>425</v>
      </c>
      <c r="D14" t="s">
        <v>16</v>
      </c>
      <c r="F14">
        <v>345</v>
      </c>
      <c r="I14">
        <f t="shared" si="0"/>
        <v>345</v>
      </c>
      <c r="J14">
        <v>345</v>
      </c>
      <c r="K14">
        <v>390</v>
      </c>
      <c r="L14">
        <v>30</v>
      </c>
      <c r="M14">
        <v>345</v>
      </c>
      <c r="N14">
        <v>-45</v>
      </c>
    </row>
    <row r="15" spans="1:14" x14ac:dyDescent="0.25">
      <c r="A15" s="6" t="s">
        <v>426</v>
      </c>
      <c r="B15" t="s">
        <v>12</v>
      </c>
      <c r="C15" t="s">
        <v>427</v>
      </c>
      <c r="D15" t="s">
        <v>14</v>
      </c>
      <c r="F15">
        <v>300</v>
      </c>
      <c r="I15">
        <f t="shared" si="0"/>
        <v>300</v>
      </c>
      <c r="J15">
        <v>300</v>
      </c>
      <c r="K15">
        <v>240</v>
      </c>
      <c r="L15">
        <v>36</v>
      </c>
      <c r="M15">
        <v>204</v>
      </c>
      <c r="N15">
        <v>60</v>
      </c>
    </row>
    <row r="16" spans="1:14" x14ac:dyDescent="0.25">
      <c r="A16" s="6" t="s">
        <v>426</v>
      </c>
      <c r="B16" t="s">
        <v>12</v>
      </c>
      <c r="C16" t="s">
        <v>428</v>
      </c>
      <c r="D16" t="s">
        <v>16</v>
      </c>
      <c r="F16">
        <v>570</v>
      </c>
      <c r="I16">
        <f t="shared" si="0"/>
        <v>570</v>
      </c>
      <c r="J16">
        <v>570</v>
      </c>
      <c r="K16">
        <v>585</v>
      </c>
      <c r="L16">
        <v>105</v>
      </c>
      <c r="M16">
        <v>480</v>
      </c>
      <c r="N16">
        <v>-15</v>
      </c>
    </row>
    <row r="17" spans="1:14" x14ac:dyDescent="0.25">
      <c r="A17" s="6" t="s">
        <v>426</v>
      </c>
      <c r="B17" t="s">
        <v>26</v>
      </c>
      <c r="C17" t="s">
        <v>429</v>
      </c>
      <c r="D17" t="s">
        <v>14</v>
      </c>
      <c r="F17">
        <v>300</v>
      </c>
      <c r="I17">
        <f t="shared" si="0"/>
        <v>300</v>
      </c>
      <c r="J17">
        <v>300</v>
      </c>
      <c r="K17">
        <v>300</v>
      </c>
      <c r="L17">
        <v>48</v>
      </c>
      <c r="M17">
        <v>252</v>
      </c>
      <c r="N17">
        <v>0</v>
      </c>
    </row>
    <row r="18" spans="1:14" x14ac:dyDescent="0.25">
      <c r="A18" s="6" t="s">
        <v>426</v>
      </c>
      <c r="B18" t="s">
        <v>26</v>
      </c>
      <c r="C18" t="s">
        <v>430</v>
      </c>
      <c r="D18" t="s">
        <v>16</v>
      </c>
      <c r="F18">
        <v>405</v>
      </c>
      <c r="I18">
        <f t="shared" si="0"/>
        <v>405</v>
      </c>
      <c r="J18">
        <v>405</v>
      </c>
      <c r="K18" s="7">
        <v>465</v>
      </c>
      <c r="L18">
        <v>60</v>
      </c>
      <c r="M18">
        <v>405</v>
      </c>
      <c r="N18">
        <v>-60</v>
      </c>
    </row>
    <row r="19" spans="1:14" x14ac:dyDescent="0.25">
      <c r="A19" s="6">
        <v>2592</v>
      </c>
      <c r="B19" t="s">
        <v>12</v>
      </c>
      <c r="C19" t="s">
        <v>431</v>
      </c>
      <c r="D19" t="s">
        <v>14</v>
      </c>
      <c r="F19">
        <v>405</v>
      </c>
      <c r="I19">
        <f t="shared" si="0"/>
        <v>405</v>
      </c>
      <c r="J19">
        <v>405</v>
      </c>
      <c r="K19">
        <v>465</v>
      </c>
      <c r="L19">
        <v>60</v>
      </c>
      <c r="M19">
        <v>404</v>
      </c>
      <c r="N19">
        <v>-60</v>
      </c>
    </row>
    <row r="20" spans="1:14" x14ac:dyDescent="0.25">
      <c r="A20" s="6">
        <v>2592</v>
      </c>
      <c r="B20" t="s">
        <v>17</v>
      </c>
      <c r="C20" t="s">
        <v>432</v>
      </c>
      <c r="D20" t="s">
        <v>14</v>
      </c>
      <c r="F20">
        <v>450</v>
      </c>
      <c r="I20">
        <f t="shared" si="0"/>
        <v>450</v>
      </c>
      <c r="J20">
        <v>450</v>
      </c>
      <c r="K20">
        <v>495</v>
      </c>
      <c r="L20">
        <v>45</v>
      </c>
      <c r="M20">
        <v>450</v>
      </c>
      <c r="N20">
        <v>-45</v>
      </c>
    </row>
    <row r="21" spans="1:14" x14ac:dyDescent="0.25">
      <c r="A21" s="6">
        <v>2903</v>
      </c>
      <c r="B21" t="s">
        <v>12</v>
      </c>
      <c r="C21" t="s">
        <v>433</v>
      </c>
      <c r="D21" t="s">
        <v>16</v>
      </c>
      <c r="F21">
        <v>255</v>
      </c>
      <c r="I21">
        <f t="shared" si="0"/>
        <v>255</v>
      </c>
      <c r="J21">
        <v>255</v>
      </c>
      <c r="K21">
        <v>195</v>
      </c>
      <c r="L21">
        <v>75</v>
      </c>
      <c r="M21">
        <v>165</v>
      </c>
      <c r="N21">
        <v>60</v>
      </c>
    </row>
    <row r="22" spans="1:14" x14ac:dyDescent="0.25">
      <c r="A22" s="6">
        <v>2903</v>
      </c>
      <c r="B22" t="s">
        <v>12</v>
      </c>
      <c r="C22" t="s">
        <v>434</v>
      </c>
      <c r="D22" t="s">
        <v>224</v>
      </c>
      <c r="F22">
        <v>195</v>
      </c>
      <c r="I22">
        <f t="shared" si="0"/>
        <v>195</v>
      </c>
      <c r="J22">
        <v>195</v>
      </c>
      <c r="K22">
        <v>0</v>
      </c>
      <c r="L22">
        <v>0</v>
      </c>
      <c r="M22">
        <v>0</v>
      </c>
      <c r="N22">
        <v>195</v>
      </c>
    </row>
    <row r="23" spans="1:14" x14ac:dyDescent="0.25">
      <c r="A23" s="6">
        <v>2903</v>
      </c>
      <c r="B23" t="s">
        <v>17</v>
      </c>
      <c r="C23" t="s">
        <v>235</v>
      </c>
      <c r="D23" t="s">
        <v>16</v>
      </c>
      <c r="F23">
        <v>270</v>
      </c>
      <c r="I23">
        <f t="shared" si="0"/>
        <v>270</v>
      </c>
      <c r="J23">
        <v>270</v>
      </c>
      <c r="K23">
        <v>225</v>
      </c>
      <c r="L23">
        <v>30</v>
      </c>
      <c r="M23">
        <v>240</v>
      </c>
      <c r="N23">
        <v>45</v>
      </c>
    </row>
    <row r="24" spans="1:14" x14ac:dyDescent="0.25">
      <c r="A24" s="6">
        <v>2903</v>
      </c>
      <c r="B24" t="s">
        <v>17</v>
      </c>
      <c r="C24" t="s">
        <v>435</v>
      </c>
      <c r="D24" t="s">
        <v>224</v>
      </c>
      <c r="F24">
        <v>255</v>
      </c>
      <c r="I24">
        <f t="shared" si="0"/>
        <v>255</v>
      </c>
      <c r="J24">
        <v>255</v>
      </c>
      <c r="K24">
        <v>0</v>
      </c>
      <c r="L24">
        <v>0</v>
      </c>
      <c r="M24">
        <v>0</v>
      </c>
      <c r="N24">
        <v>255</v>
      </c>
    </row>
    <row r="25" spans="1:14" x14ac:dyDescent="0.25">
      <c r="A25" s="6">
        <v>2903</v>
      </c>
      <c r="B25" t="s">
        <v>60</v>
      </c>
      <c r="C25" t="s">
        <v>436</v>
      </c>
      <c r="D25" t="s">
        <v>16</v>
      </c>
      <c r="F25">
        <v>270</v>
      </c>
      <c r="I25">
        <f t="shared" si="0"/>
        <v>270</v>
      </c>
      <c r="J25">
        <v>270</v>
      </c>
      <c r="K25">
        <v>210</v>
      </c>
      <c r="L25">
        <v>45</v>
      </c>
      <c r="M25">
        <v>180</v>
      </c>
      <c r="N25">
        <v>60</v>
      </c>
    </row>
    <row r="26" spans="1:14" x14ac:dyDescent="0.25">
      <c r="A26" s="6">
        <v>2903</v>
      </c>
      <c r="B26" t="s">
        <v>60</v>
      </c>
      <c r="C26" t="s">
        <v>437</v>
      </c>
      <c r="D26" t="s">
        <v>224</v>
      </c>
      <c r="F26">
        <v>255</v>
      </c>
      <c r="I26">
        <f t="shared" si="0"/>
        <v>255</v>
      </c>
      <c r="J26">
        <v>255</v>
      </c>
      <c r="K26">
        <v>0</v>
      </c>
      <c r="L26">
        <v>0</v>
      </c>
      <c r="M26">
        <v>0</v>
      </c>
      <c r="N26">
        <v>255</v>
      </c>
    </row>
    <row r="27" spans="1:14" x14ac:dyDescent="0.25">
      <c r="A27" s="6" t="s">
        <v>438</v>
      </c>
      <c r="B27" t="s">
        <v>17</v>
      </c>
      <c r="C27" t="s">
        <v>439</v>
      </c>
      <c r="D27" t="s">
        <v>14</v>
      </c>
      <c r="F27">
        <v>300</v>
      </c>
      <c r="I27">
        <f t="shared" si="0"/>
        <v>300</v>
      </c>
      <c r="J27">
        <v>300</v>
      </c>
      <c r="K27">
        <v>240</v>
      </c>
      <c r="L27">
        <v>12</v>
      </c>
      <c r="M27">
        <v>216</v>
      </c>
      <c r="N27">
        <v>60</v>
      </c>
    </row>
    <row r="28" spans="1:14" x14ac:dyDescent="0.25">
      <c r="A28" s="6" t="s">
        <v>438</v>
      </c>
      <c r="B28" t="s">
        <v>75</v>
      </c>
      <c r="C28" t="s">
        <v>440</v>
      </c>
      <c r="D28" t="s">
        <v>14</v>
      </c>
      <c r="F28">
        <v>240</v>
      </c>
      <c r="I28">
        <f t="shared" si="0"/>
        <v>240</v>
      </c>
      <c r="J28">
        <v>240</v>
      </c>
      <c r="K28">
        <v>240</v>
      </c>
      <c r="L28">
        <v>12</v>
      </c>
      <c r="M28">
        <v>228</v>
      </c>
      <c r="N28">
        <v>0</v>
      </c>
    </row>
    <row r="29" spans="1:14" x14ac:dyDescent="0.25">
      <c r="A29" s="6" t="s">
        <v>438</v>
      </c>
      <c r="B29" t="s">
        <v>60</v>
      </c>
      <c r="C29" t="s">
        <v>441</v>
      </c>
      <c r="D29" t="s">
        <v>14</v>
      </c>
      <c r="F29">
        <v>144</v>
      </c>
      <c r="I29">
        <f t="shared" si="0"/>
        <v>144</v>
      </c>
      <c r="J29">
        <v>144</v>
      </c>
      <c r="K29">
        <v>144</v>
      </c>
      <c r="L29">
        <v>0</v>
      </c>
      <c r="M29">
        <v>120</v>
      </c>
      <c r="N29">
        <v>0</v>
      </c>
    </row>
    <row r="30" spans="1:14" x14ac:dyDescent="0.25">
      <c r="A30" s="6">
        <v>3019</v>
      </c>
      <c r="B30" t="s">
        <v>60</v>
      </c>
      <c r="C30" t="s">
        <v>442</v>
      </c>
      <c r="D30" t="s">
        <v>14</v>
      </c>
      <c r="F30">
        <v>630</v>
      </c>
      <c r="I30">
        <f t="shared" si="0"/>
        <v>630</v>
      </c>
      <c r="J30">
        <v>630</v>
      </c>
      <c r="K30">
        <v>765</v>
      </c>
      <c r="L30">
        <v>135</v>
      </c>
      <c r="M30">
        <v>630</v>
      </c>
      <c r="N30">
        <v>-135</v>
      </c>
    </row>
    <row r="31" spans="1:14" x14ac:dyDescent="0.25">
      <c r="A31" s="6">
        <v>3019</v>
      </c>
      <c r="B31" t="s">
        <v>286</v>
      </c>
      <c r="C31" t="s">
        <v>443</v>
      </c>
      <c r="D31" t="s">
        <v>14</v>
      </c>
      <c r="F31">
        <v>450</v>
      </c>
      <c r="I31">
        <f t="shared" si="0"/>
        <v>450</v>
      </c>
      <c r="J31">
        <v>450</v>
      </c>
      <c r="K31">
        <v>480</v>
      </c>
      <c r="L31">
        <v>30</v>
      </c>
      <c r="M31">
        <v>450</v>
      </c>
      <c r="N31">
        <v>-30</v>
      </c>
    </row>
    <row r="32" spans="1:14" x14ac:dyDescent="0.25">
      <c r="A32" s="6">
        <v>3027</v>
      </c>
      <c r="B32" t="s">
        <v>17</v>
      </c>
      <c r="C32" t="s">
        <v>444</v>
      </c>
      <c r="D32" t="s">
        <v>14</v>
      </c>
      <c r="F32">
        <v>810</v>
      </c>
      <c r="I32">
        <f t="shared" si="0"/>
        <v>810</v>
      </c>
      <c r="J32">
        <v>810</v>
      </c>
      <c r="K32">
        <v>690</v>
      </c>
      <c r="L32">
        <v>120</v>
      </c>
      <c r="M32">
        <v>525</v>
      </c>
      <c r="N32">
        <v>120</v>
      </c>
    </row>
    <row r="33" spans="1:14" x14ac:dyDescent="0.25">
      <c r="A33" s="6">
        <v>3027</v>
      </c>
      <c r="B33" t="s">
        <v>96</v>
      </c>
      <c r="C33" t="s">
        <v>445</v>
      </c>
      <c r="D33" t="s">
        <v>14</v>
      </c>
      <c r="F33">
        <v>450</v>
      </c>
      <c r="I33">
        <f t="shared" si="0"/>
        <v>450</v>
      </c>
      <c r="J33">
        <v>450</v>
      </c>
      <c r="K33">
        <v>465</v>
      </c>
      <c r="L33">
        <v>45</v>
      </c>
      <c r="M33">
        <v>420</v>
      </c>
      <c r="N33">
        <v>-15</v>
      </c>
    </row>
    <row r="34" spans="1:14" x14ac:dyDescent="0.25">
      <c r="A34" s="6">
        <v>3027</v>
      </c>
      <c r="B34" t="s">
        <v>75</v>
      </c>
      <c r="C34" t="s">
        <v>446</v>
      </c>
      <c r="D34" t="s">
        <v>14</v>
      </c>
      <c r="F34">
        <v>390</v>
      </c>
      <c r="I34">
        <f t="shared" si="0"/>
        <v>390</v>
      </c>
      <c r="J34">
        <v>390</v>
      </c>
      <c r="K34">
        <v>360</v>
      </c>
      <c r="L34">
        <v>30</v>
      </c>
      <c r="M34">
        <v>330</v>
      </c>
      <c r="N34">
        <v>30</v>
      </c>
    </row>
    <row r="35" spans="1:14" x14ac:dyDescent="0.25">
      <c r="A35" s="6">
        <v>3027</v>
      </c>
      <c r="B35" t="s">
        <v>60</v>
      </c>
      <c r="C35" t="s">
        <v>249</v>
      </c>
      <c r="D35" t="s">
        <v>14</v>
      </c>
      <c r="F35">
        <v>270</v>
      </c>
      <c r="I35">
        <f t="shared" si="0"/>
        <v>270</v>
      </c>
      <c r="J35">
        <v>270</v>
      </c>
      <c r="K35">
        <v>285</v>
      </c>
      <c r="L35">
        <v>30</v>
      </c>
      <c r="M35">
        <v>255</v>
      </c>
      <c r="N35">
        <v>-15</v>
      </c>
    </row>
    <row r="36" spans="1:14" x14ac:dyDescent="0.25">
      <c r="A36" s="6">
        <v>3048</v>
      </c>
      <c r="B36" t="s">
        <v>17</v>
      </c>
      <c r="C36" t="s">
        <v>447</v>
      </c>
      <c r="D36" t="s">
        <v>14</v>
      </c>
      <c r="F36">
        <v>420</v>
      </c>
      <c r="I36">
        <f t="shared" si="0"/>
        <v>420</v>
      </c>
      <c r="J36">
        <v>420</v>
      </c>
      <c r="K36">
        <v>345</v>
      </c>
      <c r="L36">
        <v>75</v>
      </c>
      <c r="M36">
        <v>240</v>
      </c>
      <c r="N36">
        <v>75</v>
      </c>
    </row>
    <row r="37" spans="1:14" x14ac:dyDescent="0.25">
      <c r="A37" s="6">
        <v>3048</v>
      </c>
      <c r="B37" t="s">
        <v>75</v>
      </c>
      <c r="C37" t="s">
        <v>448</v>
      </c>
      <c r="D37" t="s">
        <v>14</v>
      </c>
      <c r="F37">
        <v>270</v>
      </c>
      <c r="I37">
        <f t="shared" si="0"/>
        <v>270</v>
      </c>
      <c r="J37">
        <v>270</v>
      </c>
      <c r="K37">
        <v>270</v>
      </c>
      <c r="L37">
        <v>60</v>
      </c>
      <c r="M37">
        <v>180</v>
      </c>
      <c r="N37">
        <v>0</v>
      </c>
    </row>
    <row r="38" spans="1:14" x14ac:dyDescent="0.25">
      <c r="A38" s="6" t="s">
        <v>449</v>
      </c>
      <c r="B38" t="s">
        <v>17</v>
      </c>
      <c r="C38" t="s">
        <v>450</v>
      </c>
      <c r="D38" t="s">
        <v>14</v>
      </c>
      <c r="F38">
        <v>456</v>
      </c>
      <c r="I38">
        <f t="shared" si="0"/>
        <v>456</v>
      </c>
      <c r="J38">
        <v>456</v>
      </c>
      <c r="K38">
        <v>372</v>
      </c>
      <c r="L38">
        <v>72</v>
      </c>
      <c r="M38">
        <v>288</v>
      </c>
      <c r="N38">
        <v>84</v>
      </c>
    </row>
    <row r="39" spans="1:14" x14ac:dyDescent="0.25">
      <c r="A39" s="6" t="s">
        <v>449</v>
      </c>
      <c r="B39" t="s">
        <v>22</v>
      </c>
      <c r="C39" t="s">
        <v>451</v>
      </c>
      <c r="D39" t="s">
        <v>14</v>
      </c>
      <c r="F39">
        <v>324</v>
      </c>
      <c r="I39">
        <f t="shared" si="0"/>
        <v>324</v>
      </c>
      <c r="J39">
        <v>324</v>
      </c>
      <c r="K39">
        <v>288</v>
      </c>
      <c r="L39">
        <v>24</v>
      </c>
      <c r="M39">
        <v>264</v>
      </c>
      <c r="N39">
        <v>36</v>
      </c>
    </row>
    <row r="40" spans="1:14" x14ac:dyDescent="0.25">
      <c r="A40" s="6" t="s">
        <v>449</v>
      </c>
      <c r="B40" t="s">
        <v>57</v>
      </c>
      <c r="C40" t="s">
        <v>452</v>
      </c>
      <c r="D40" t="s">
        <v>14</v>
      </c>
      <c r="F40">
        <v>228</v>
      </c>
      <c r="I40">
        <f t="shared" si="0"/>
        <v>228</v>
      </c>
      <c r="J40">
        <v>228</v>
      </c>
      <c r="K40">
        <v>216</v>
      </c>
      <c r="L40">
        <v>36</v>
      </c>
      <c r="M40">
        <v>180</v>
      </c>
      <c r="N40">
        <v>12</v>
      </c>
    </row>
    <row r="41" spans="1:14" x14ac:dyDescent="0.25">
      <c r="A41" s="6" t="s">
        <v>453</v>
      </c>
      <c r="B41" t="s">
        <v>17</v>
      </c>
      <c r="C41" t="s">
        <v>454</v>
      </c>
      <c r="D41" t="s">
        <v>14</v>
      </c>
      <c r="F41">
        <v>552</v>
      </c>
      <c r="I41">
        <f t="shared" si="0"/>
        <v>552</v>
      </c>
      <c r="J41">
        <v>552</v>
      </c>
      <c r="K41">
        <v>432</v>
      </c>
      <c r="L41">
        <v>96</v>
      </c>
      <c r="M41">
        <v>324</v>
      </c>
      <c r="N41">
        <v>120</v>
      </c>
    </row>
    <row r="42" spans="1:14" x14ac:dyDescent="0.25">
      <c r="A42" s="6" t="s">
        <v>453</v>
      </c>
      <c r="B42" t="s">
        <v>22</v>
      </c>
      <c r="C42" t="s">
        <v>455</v>
      </c>
      <c r="D42" t="s">
        <v>14</v>
      </c>
      <c r="F42">
        <v>456</v>
      </c>
      <c r="I42">
        <f t="shared" si="0"/>
        <v>456</v>
      </c>
      <c r="J42">
        <v>456</v>
      </c>
      <c r="K42">
        <v>348</v>
      </c>
      <c r="L42">
        <v>48</v>
      </c>
      <c r="M42">
        <v>300</v>
      </c>
      <c r="N42">
        <v>108</v>
      </c>
    </row>
    <row r="43" spans="1:14" x14ac:dyDescent="0.25">
      <c r="A43" s="6" t="s">
        <v>453</v>
      </c>
      <c r="B43" t="s">
        <v>57</v>
      </c>
      <c r="C43" t="s">
        <v>456</v>
      </c>
      <c r="D43" t="s">
        <v>14</v>
      </c>
      <c r="F43">
        <v>300</v>
      </c>
      <c r="I43">
        <f t="shared" si="0"/>
        <v>300</v>
      </c>
      <c r="J43">
        <v>300</v>
      </c>
      <c r="K43">
        <v>180</v>
      </c>
      <c r="L43">
        <v>36</v>
      </c>
      <c r="M43">
        <v>144</v>
      </c>
      <c r="N43">
        <v>120</v>
      </c>
    </row>
    <row r="44" spans="1:14" x14ac:dyDescent="0.25">
      <c r="A44" s="6" t="s">
        <v>457</v>
      </c>
      <c r="B44" t="s">
        <v>17</v>
      </c>
      <c r="C44" t="s">
        <v>458</v>
      </c>
      <c r="D44" t="s">
        <v>14</v>
      </c>
      <c r="F44">
        <v>600</v>
      </c>
      <c r="I44">
        <f t="shared" si="0"/>
        <v>600</v>
      </c>
      <c r="J44">
        <v>600</v>
      </c>
      <c r="K44">
        <v>600</v>
      </c>
      <c r="L44">
        <v>72</v>
      </c>
      <c r="M44">
        <v>528</v>
      </c>
      <c r="N44">
        <v>0</v>
      </c>
    </row>
    <row r="45" spans="1:14" x14ac:dyDescent="0.25">
      <c r="A45" s="6" t="s">
        <v>457</v>
      </c>
      <c r="B45" t="s">
        <v>22</v>
      </c>
      <c r="C45" t="s">
        <v>459</v>
      </c>
      <c r="D45" t="s">
        <v>14</v>
      </c>
      <c r="F45">
        <v>528</v>
      </c>
      <c r="I45">
        <f t="shared" si="0"/>
        <v>528</v>
      </c>
      <c r="J45">
        <v>528</v>
      </c>
      <c r="K45">
        <v>504</v>
      </c>
      <c r="L45">
        <v>24</v>
      </c>
      <c r="M45">
        <v>480</v>
      </c>
      <c r="N45">
        <v>24</v>
      </c>
    </row>
    <row r="46" spans="1:14" x14ac:dyDescent="0.25">
      <c r="A46" s="6" t="s">
        <v>457</v>
      </c>
      <c r="B46" t="s">
        <v>57</v>
      </c>
      <c r="C46" t="s">
        <v>460</v>
      </c>
      <c r="D46" t="s">
        <v>14</v>
      </c>
      <c r="F46">
        <v>264</v>
      </c>
      <c r="I46">
        <f t="shared" si="0"/>
        <v>264</v>
      </c>
      <c r="J46">
        <v>264</v>
      </c>
      <c r="K46">
        <v>288</v>
      </c>
      <c r="L46">
        <v>24</v>
      </c>
      <c r="M46">
        <v>264</v>
      </c>
      <c r="N46">
        <v>-24</v>
      </c>
    </row>
    <row r="47" spans="1:14" x14ac:dyDescent="0.25">
      <c r="A47" s="6" t="s">
        <v>461</v>
      </c>
      <c r="B47" t="s">
        <v>12</v>
      </c>
      <c r="C47" t="s">
        <v>462</v>
      </c>
      <c r="D47" t="s">
        <v>14</v>
      </c>
      <c r="F47">
        <v>204.00000000000003</v>
      </c>
      <c r="I47">
        <f t="shared" si="0"/>
        <v>204.00000000000003</v>
      </c>
      <c r="J47">
        <v>204.00000000000003</v>
      </c>
      <c r="K47">
        <v>192</v>
      </c>
      <c r="L47">
        <v>24</v>
      </c>
      <c r="M47">
        <v>168</v>
      </c>
      <c r="N47">
        <v>12.000000000000028</v>
      </c>
    </row>
    <row r="48" spans="1:14" x14ac:dyDescent="0.25">
      <c r="A48" s="6" t="s">
        <v>461</v>
      </c>
      <c r="B48" t="s">
        <v>17</v>
      </c>
      <c r="C48" t="s">
        <v>463</v>
      </c>
      <c r="D48" t="s">
        <v>14</v>
      </c>
      <c r="F48">
        <v>396</v>
      </c>
      <c r="I48">
        <f t="shared" si="0"/>
        <v>396</v>
      </c>
      <c r="J48">
        <v>396</v>
      </c>
      <c r="K48">
        <v>336</v>
      </c>
      <c r="L48">
        <v>36</v>
      </c>
      <c r="M48">
        <v>300</v>
      </c>
      <c r="N48">
        <v>60</v>
      </c>
    </row>
    <row r="49" spans="1:14" x14ac:dyDescent="0.25">
      <c r="A49" s="6" t="s">
        <v>464</v>
      </c>
      <c r="B49" t="s">
        <v>17</v>
      </c>
      <c r="C49" t="s">
        <v>465</v>
      </c>
      <c r="D49" t="s">
        <v>14</v>
      </c>
      <c r="F49">
        <v>510</v>
      </c>
      <c r="I49">
        <f t="shared" si="0"/>
        <v>510</v>
      </c>
      <c r="J49">
        <v>510</v>
      </c>
      <c r="K49">
        <v>300</v>
      </c>
      <c r="L49">
        <v>45</v>
      </c>
      <c r="M49">
        <v>240</v>
      </c>
      <c r="N49">
        <v>210</v>
      </c>
    </row>
    <row r="50" spans="1:14" x14ac:dyDescent="0.25">
      <c r="A50" s="6" t="s">
        <v>464</v>
      </c>
      <c r="B50" t="s">
        <v>34</v>
      </c>
      <c r="C50" t="s">
        <v>466</v>
      </c>
      <c r="D50" t="s">
        <v>14</v>
      </c>
      <c r="F50">
        <v>255</v>
      </c>
      <c r="I50">
        <f t="shared" si="0"/>
        <v>255</v>
      </c>
      <c r="J50">
        <v>255</v>
      </c>
      <c r="K50">
        <v>180</v>
      </c>
      <c r="L50">
        <v>15</v>
      </c>
      <c r="M50">
        <v>165</v>
      </c>
      <c r="N50">
        <v>75</v>
      </c>
    </row>
    <row r="51" spans="1:14" x14ac:dyDescent="0.25">
      <c r="A51" s="6" t="s">
        <v>464</v>
      </c>
      <c r="B51" t="s">
        <v>75</v>
      </c>
      <c r="C51" t="s">
        <v>467</v>
      </c>
      <c r="D51" t="s">
        <v>14</v>
      </c>
      <c r="F51">
        <v>135</v>
      </c>
      <c r="I51">
        <f t="shared" si="0"/>
        <v>135</v>
      </c>
      <c r="J51">
        <v>135</v>
      </c>
      <c r="K51">
        <v>90</v>
      </c>
      <c r="L51">
        <v>15</v>
      </c>
      <c r="M51">
        <v>75</v>
      </c>
      <c r="N51">
        <v>45</v>
      </c>
    </row>
    <row r="52" spans="1:14" x14ac:dyDescent="0.25">
      <c r="A52" s="6" t="s">
        <v>468</v>
      </c>
      <c r="B52" t="s">
        <v>17</v>
      </c>
      <c r="C52" t="s">
        <v>469</v>
      </c>
      <c r="D52" t="s">
        <v>14</v>
      </c>
      <c r="F52">
        <v>420</v>
      </c>
      <c r="I52">
        <f t="shared" si="0"/>
        <v>420</v>
      </c>
      <c r="J52">
        <v>420</v>
      </c>
      <c r="K52">
        <v>240</v>
      </c>
      <c r="L52">
        <v>30</v>
      </c>
      <c r="M52">
        <v>210</v>
      </c>
      <c r="N52">
        <v>180</v>
      </c>
    </row>
    <row r="53" spans="1:14" x14ac:dyDescent="0.25">
      <c r="A53" s="6" t="s">
        <v>468</v>
      </c>
      <c r="B53" t="s">
        <v>75</v>
      </c>
      <c r="C53" t="s">
        <v>470</v>
      </c>
      <c r="D53" t="s">
        <v>14</v>
      </c>
      <c r="F53">
        <v>285</v>
      </c>
      <c r="I53">
        <f t="shared" si="0"/>
        <v>285</v>
      </c>
      <c r="J53">
        <v>285</v>
      </c>
      <c r="K53">
        <v>180</v>
      </c>
      <c r="L53">
        <v>15</v>
      </c>
      <c r="M53">
        <v>165</v>
      </c>
      <c r="N53">
        <v>105</v>
      </c>
    </row>
    <row r="54" spans="1:14" x14ac:dyDescent="0.25">
      <c r="A54" s="6" t="s">
        <v>254</v>
      </c>
      <c r="B54" t="s">
        <v>17</v>
      </c>
      <c r="C54" t="s">
        <v>471</v>
      </c>
      <c r="D54" t="s">
        <v>14</v>
      </c>
      <c r="F54">
        <v>315</v>
      </c>
      <c r="I54">
        <f t="shared" si="0"/>
        <v>315</v>
      </c>
      <c r="J54">
        <v>315</v>
      </c>
      <c r="K54">
        <v>240</v>
      </c>
      <c r="L54">
        <v>0</v>
      </c>
      <c r="M54">
        <v>240</v>
      </c>
      <c r="N54">
        <v>75</v>
      </c>
    </row>
    <row r="55" spans="1:14" x14ac:dyDescent="0.25">
      <c r="A55" s="6" t="s">
        <v>254</v>
      </c>
      <c r="B55" t="s">
        <v>34</v>
      </c>
      <c r="C55" t="s">
        <v>472</v>
      </c>
      <c r="D55" t="s">
        <v>14</v>
      </c>
      <c r="F55">
        <v>165</v>
      </c>
      <c r="I55">
        <f t="shared" si="0"/>
        <v>165</v>
      </c>
      <c r="J55">
        <v>165</v>
      </c>
      <c r="K55">
        <v>120</v>
      </c>
      <c r="L55">
        <v>0</v>
      </c>
      <c r="M55">
        <v>105</v>
      </c>
      <c r="N55">
        <v>45</v>
      </c>
    </row>
    <row r="56" spans="1:14" x14ac:dyDescent="0.25">
      <c r="A56" s="6" t="s">
        <v>254</v>
      </c>
      <c r="B56" t="s">
        <v>75</v>
      </c>
      <c r="C56" t="s">
        <v>473</v>
      </c>
      <c r="D56" t="s">
        <v>14</v>
      </c>
      <c r="F56">
        <v>285</v>
      </c>
      <c r="I56">
        <f t="shared" si="0"/>
        <v>285</v>
      </c>
      <c r="J56">
        <v>285</v>
      </c>
      <c r="K56">
        <v>240</v>
      </c>
      <c r="L56">
        <v>0</v>
      </c>
      <c r="M56">
        <v>210</v>
      </c>
      <c r="N56">
        <v>45</v>
      </c>
    </row>
    <row r="57" spans="1:14" x14ac:dyDescent="0.25">
      <c r="A57" s="6" t="s">
        <v>254</v>
      </c>
      <c r="B57" t="s">
        <v>60</v>
      </c>
      <c r="C57" t="s">
        <v>255</v>
      </c>
      <c r="D57" t="s">
        <v>14</v>
      </c>
      <c r="F57">
        <v>345</v>
      </c>
      <c r="I57">
        <f t="shared" ref="I57:I98" si="1">+H57+G57+F57</f>
        <v>345</v>
      </c>
      <c r="J57">
        <v>345</v>
      </c>
      <c r="K57">
        <v>240</v>
      </c>
      <c r="L57">
        <v>15</v>
      </c>
      <c r="M57">
        <v>195</v>
      </c>
      <c r="N57">
        <v>105</v>
      </c>
    </row>
    <row r="58" spans="1:14" x14ac:dyDescent="0.25">
      <c r="A58" s="6" t="s">
        <v>474</v>
      </c>
      <c r="B58" t="s">
        <v>12</v>
      </c>
      <c r="C58" t="s">
        <v>475</v>
      </c>
      <c r="D58" t="s">
        <v>14</v>
      </c>
      <c r="F58">
        <v>675</v>
      </c>
      <c r="I58">
        <f t="shared" si="1"/>
        <v>675</v>
      </c>
      <c r="J58">
        <v>675</v>
      </c>
      <c r="K58">
        <v>780</v>
      </c>
      <c r="L58">
        <v>105</v>
      </c>
      <c r="M58">
        <v>675</v>
      </c>
      <c r="N58">
        <v>-105</v>
      </c>
    </row>
    <row r="59" spans="1:14" x14ac:dyDescent="0.25">
      <c r="A59" s="6" t="s">
        <v>474</v>
      </c>
      <c r="B59" t="s">
        <v>17</v>
      </c>
      <c r="C59" t="s">
        <v>476</v>
      </c>
      <c r="D59" t="s">
        <v>14</v>
      </c>
      <c r="F59">
        <v>645</v>
      </c>
      <c r="I59">
        <f t="shared" si="1"/>
        <v>645</v>
      </c>
      <c r="J59">
        <v>645</v>
      </c>
      <c r="K59">
        <v>690</v>
      </c>
      <c r="L59">
        <v>45</v>
      </c>
      <c r="M59">
        <v>645</v>
      </c>
      <c r="N59">
        <v>-45</v>
      </c>
    </row>
    <row r="60" spans="1:14" x14ac:dyDescent="0.25">
      <c r="A60" s="6" t="s">
        <v>474</v>
      </c>
      <c r="B60" t="s">
        <v>117</v>
      </c>
      <c r="C60" t="s">
        <v>477</v>
      </c>
      <c r="D60" t="s">
        <v>14</v>
      </c>
      <c r="F60">
        <v>495</v>
      </c>
      <c r="I60">
        <f t="shared" si="1"/>
        <v>495</v>
      </c>
      <c r="J60">
        <v>495</v>
      </c>
      <c r="K60">
        <v>570</v>
      </c>
      <c r="L60">
        <v>90</v>
      </c>
      <c r="M60">
        <v>495</v>
      </c>
      <c r="N60">
        <v>-75</v>
      </c>
    </row>
    <row r="61" spans="1:14" x14ac:dyDescent="0.25">
      <c r="A61" s="6" t="s">
        <v>478</v>
      </c>
      <c r="B61" t="s">
        <v>107</v>
      </c>
      <c r="C61" t="s">
        <v>479</v>
      </c>
      <c r="D61" t="s">
        <v>14</v>
      </c>
      <c r="F61">
        <v>630</v>
      </c>
      <c r="I61">
        <f t="shared" si="1"/>
        <v>630</v>
      </c>
      <c r="J61">
        <v>630</v>
      </c>
      <c r="K61">
        <v>570</v>
      </c>
      <c r="L61">
        <v>60</v>
      </c>
      <c r="M61">
        <v>510</v>
      </c>
      <c r="N61">
        <v>60</v>
      </c>
    </row>
    <row r="62" spans="1:14" x14ac:dyDescent="0.25">
      <c r="A62" s="6" t="s">
        <v>478</v>
      </c>
      <c r="B62" t="s">
        <v>17</v>
      </c>
      <c r="C62" t="s">
        <v>480</v>
      </c>
      <c r="D62" t="s">
        <v>14</v>
      </c>
      <c r="F62">
        <v>300</v>
      </c>
      <c r="I62">
        <f t="shared" si="1"/>
        <v>300</v>
      </c>
      <c r="J62">
        <v>300</v>
      </c>
      <c r="K62">
        <v>360</v>
      </c>
      <c r="L62">
        <v>60</v>
      </c>
      <c r="M62">
        <v>300</v>
      </c>
      <c r="N62">
        <v>-60</v>
      </c>
    </row>
    <row r="63" spans="1:14" x14ac:dyDescent="0.25">
      <c r="A63" s="6" t="s">
        <v>478</v>
      </c>
      <c r="B63" t="s">
        <v>34</v>
      </c>
      <c r="C63" t="s">
        <v>481</v>
      </c>
      <c r="D63" t="s">
        <v>14</v>
      </c>
      <c r="F63">
        <v>270</v>
      </c>
      <c r="I63">
        <f t="shared" si="1"/>
        <v>270</v>
      </c>
      <c r="J63">
        <v>270</v>
      </c>
      <c r="K63">
        <v>210</v>
      </c>
      <c r="L63">
        <v>15</v>
      </c>
      <c r="M63">
        <v>150</v>
      </c>
      <c r="N63">
        <v>60</v>
      </c>
    </row>
    <row r="64" spans="1:14" x14ac:dyDescent="0.25">
      <c r="A64" s="6" t="s">
        <v>482</v>
      </c>
      <c r="B64" t="s">
        <v>17</v>
      </c>
      <c r="C64" t="s">
        <v>483</v>
      </c>
      <c r="D64" t="s">
        <v>14</v>
      </c>
      <c r="F64">
        <v>1110</v>
      </c>
      <c r="I64">
        <f t="shared" si="1"/>
        <v>1110</v>
      </c>
      <c r="J64">
        <v>1110</v>
      </c>
      <c r="K64">
        <v>945</v>
      </c>
      <c r="L64">
        <v>75</v>
      </c>
      <c r="M64">
        <v>810</v>
      </c>
      <c r="N64">
        <v>165</v>
      </c>
    </row>
    <row r="65" spans="1:14" x14ac:dyDescent="0.25">
      <c r="A65" s="6" t="s">
        <v>482</v>
      </c>
      <c r="B65" t="s">
        <v>22</v>
      </c>
      <c r="C65" t="s">
        <v>484</v>
      </c>
      <c r="D65" t="s">
        <v>14</v>
      </c>
      <c r="F65">
        <v>705</v>
      </c>
      <c r="I65">
        <f t="shared" si="1"/>
        <v>705</v>
      </c>
      <c r="J65">
        <v>705</v>
      </c>
      <c r="K65">
        <v>570</v>
      </c>
      <c r="L65">
        <v>60</v>
      </c>
      <c r="M65">
        <v>450</v>
      </c>
      <c r="N65">
        <v>135</v>
      </c>
    </row>
    <row r="66" spans="1:14" x14ac:dyDescent="0.25">
      <c r="A66" s="6">
        <v>3765</v>
      </c>
      <c r="B66" t="s">
        <v>17</v>
      </c>
      <c r="C66" t="s">
        <v>485</v>
      </c>
      <c r="D66" t="s">
        <v>14</v>
      </c>
      <c r="F66">
        <v>1005</v>
      </c>
      <c r="I66">
        <f t="shared" si="1"/>
        <v>1005</v>
      </c>
      <c r="J66">
        <v>1005</v>
      </c>
      <c r="K66">
        <v>585</v>
      </c>
      <c r="L66">
        <v>180</v>
      </c>
      <c r="M66">
        <v>360</v>
      </c>
      <c r="N66">
        <v>420</v>
      </c>
    </row>
    <row r="67" spans="1:14" x14ac:dyDescent="0.25">
      <c r="A67" s="6" t="s">
        <v>486</v>
      </c>
      <c r="B67" t="s">
        <v>17</v>
      </c>
      <c r="C67" t="s">
        <v>487</v>
      </c>
      <c r="D67" t="s">
        <v>14</v>
      </c>
      <c r="F67">
        <v>690</v>
      </c>
      <c r="I67">
        <f t="shared" si="1"/>
        <v>690</v>
      </c>
      <c r="J67">
        <v>690</v>
      </c>
      <c r="K67">
        <v>825</v>
      </c>
      <c r="L67">
        <v>225</v>
      </c>
      <c r="M67">
        <v>555</v>
      </c>
      <c r="N67">
        <v>-135</v>
      </c>
    </row>
    <row r="68" spans="1:14" x14ac:dyDescent="0.25">
      <c r="A68" s="6" t="s">
        <v>486</v>
      </c>
      <c r="B68" t="s">
        <v>60</v>
      </c>
      <c r="C68" t="s">
        <v>488</v>
      </c>
      <c r="D68" t="s">
        <v>14</v>
      </c>
      <c r="F68">
        <v>1095</v>
      </c>
      <c r="I68">
        <f t="shared" si="1"/>
        <v>1095</v>
      </c>
      <c r="J68">
        <v>1095</v>
      </c>
      <c r="K68">
        <v>945</v>
      </c>
      <c r="L68">
        <v>225</v>
      </c>
      <c r="M68">
        <v>720</v>
      </c>
      <c r="N68">
        <v>150</v>
      </c>
    </row>
    <row r="69" spans="1:14" x14ac:dyDescent="0.25">
      <c r="A69" s="6" t="s">
        <v>486</v>
      </c>
      <c r="B69" t="s">
        <v>57</v>
      </c>
      <c r="C69" t="s">
        <v>489</v>
      </c>
      <c r="D69" t="s">
        <v>14</v>
      </c>
      <c r="F69">
        <v>1245</v>
      </c>
      <c r="I69">
        <f t="shared" si="1"/>
        <v>1245</v>
      </c>
      <c r="J69">
        <v>1245</v>
      </c>
      <c r="K69">
        <v>1230</v>
      </c>
      <c r="L69">
        <v>270</v>
      </c>
      <c r="M69">
        <v>960</v>
      </c>
      <c r="N69">
        <v>15</v>
      </c>
    </row>
    <row r="70" spans="1:14" x14ac:dyDescent="0.25">
      <c r="A70" s="6" t="s">
        <v>490</v>
      </c>
      <c r="B70" t="s">
        <v>17</v>
      </c>
      <c r="C70" t="s">
        <v>491</v>
      </c>
      <c r="D70" t="s">
        <v>14</v>
      </c>
      <c r="F70">
        <v>540</v>
      </c>
      <c r="I70">
        <f t="shared" si="1"/>
        <v>540</v>
      </c>
      <c r="J70">
        <v>540</v>
      </c>
      <c r="K70">
        <v>630</v>
      </c>
      <c r="L70">
        <v>240</v>
      </c>
      <c r="M70">
        <v>360</v>
      </c>
      <c r="N70">
        <v>-90</v>
      </c>
    </row>
    <row r="71" spans="1:14" x14ac:dyDescent="0.25">
      <c r="A71" s="6" t="s">
        <v>490</v>
      </c>
      <c r="B71" t="s">
        <v>75</v>
      </c>
      <c r="C71" t="s">
        <v>492</v>
      </c>
      <c r="D71" t="s">
        <v>14</v>
      </c>
      <c r="F71">
        <v>405</v>
      </c>
      <c r="I71">
        <f t="shared" si="1"/>
        <v>405</v>
      </c>
      <c r="J71">
        <v>405</v>
      </c>
      <c r="K71">
        <v>345</v>
      </c>
      <c r="L71">
        <v>15</v>
      </c>
      <c r="M71">
        <v>300</v>
      </c>
      <c r="N71">
        <v>60</v>
      </c>
    </row>
    <row r="72" spans="1:14" x14ac:dyDescent="0.25">
      <c r="A72" s="6" t="s">
        <v>493</v>
      </c>
      <c r="B72" t="s">
        <v>17</v>
      </c>
      <c r="C72" t="s">
        <v>494</v>
      </c>
      <c r="D72" t="s">
        <v>14</v>
      </c>
      <c r="F72">
        <v>570</v>
      </c>
      <c r="I72">
        <f t="shared" si="1"/>
        <v>570</v>
      </c>
      <c r="J72">
        <v>570</v>
      </c>
      <c r="K72">
        <v>540</v>
      </c>
      <c r="L72">
        <v>135</v>
      </c>
      <c r="M72">
        <v>375</v>
      </c>
      <c r="N72">
        <v>30</v>
      </c>
    </row>
    <row r="73" spans="1:14" x14ac:dyDescent="0.25">
      <c r="A73" s="6" t="s">
        <v>493</v>
      </c>
      <c r="B73" t="s">
        <v>34</v>
      </c>
      <c r="C73" t="s">
        <v>495</v>
      </c>
      <c r="D73" t="s">
        <v>14</v>
      </c>
      <c r="F73">
        <v>390</v>
      </c>
      <c r="I73">
        <f t="shared" si="1"/>
        <v>390</v>
      </c>
      <c r="J73">
        <v>390</v>
      </c>
      <c r="K73">
        <v>285</v>
      </c>
      <c r="L73">
        <v>120</v>
      </c>
      <c r="M73">
        <v>165</v>
      </c>
      <c r="N73">
        <v>105</v>
      </c>
    </row>
    <row r="74" spans="1:14" x14ac:dyDescent="0.25">
      <c r="A74" s="6" t="s">
        <v>493</v>
      </c>
      <c r="B74" t="s">
        <v>37</v>
      </c>
      <c r="C74" t="s">
        <v>496</v>
      </c>
      <c r="D74" t="s">
        <v>14</v>
      </c>
      <c r="F74">
        <v>240</v>
      </c>
      <c r="I74">
        <f t="shared" si="1"/>
        <v>240</v>
      </c>
      <c r="J74">
        <v>240</v>
      </c>
      <c r="K74">
        <v>180</v>
      </c>
      <c r="L74">
        <v>45</v>
      </c>
      <c r="M74">
        <v>135</v>
      </c>
      <c r="N74">
        <v>60</v>
      </c>
    </row>
    <row r="75" spans="1:14" x14ac:dyDescent="0.25">
      <c r="A75" s="6" t="s">
        <v>260</v>
      </c>
      <c r="B75" t="s">
        <v>17</v>
      </c>
      <c r="C75" t="s">
        <v>497</v>
      </c>
      <c r="D75" t="s">
        <v>14</v>
      </c>
      <c r="F75">
        <v>585</v>
      </c>
      <c r="I75">
        <f t="shared" si="1"/>
        <v>585</v>
      </c>
      <c r="J75">
        <v>585</v>
      </c>
      <c r="K75">
        <v>420</v>
      </c>
      <c r="L75">
        <v>90</v>
      </c>
      <c r="M75">
        <v>285</v>
      </c>
      <c r="N75">
        <v>165</v>
      </c>
    </row>
    <row r="76" spans="1:14" x14ac:dyDescent="0.25">
      <c r="A76" s="6" t="s">
        <v>260</v>
      </c>
      <c r="B76" t="s">
        <v>34</v>
      </c>
      <c r="C76" t="s">
        <v>498</v>
      </c>
      <c r="D76" t="s">
        <v>14</v>
      </c>
      <c r="F76">
        <v>180</v>
      </c>
      <c r="I76">
        <f t="shared" si="1"/>
        <v>180</v>
      </c>
      <c r="J76">
        <v>180</v>
      </c>
      <c r="K76">
        <v>135</v>
      </c>
      <c r="L76">
        <v>15</v>
      </c>
      <c r="M76">
        <v>105</v>
      </c>
      <c r="N76">
        <v>45</v>
      </c>
    </row>
    <row r="77" spans="1:14" x14ac:dyDescent="0.25">
      <c r="A77" s="6" t="s">
        <v>260</v>
      </c>
      <c r="B77" t="s">
        <v>22</v>
      </c>
      <c r="C77" t="s">
        <v>499</v>
      </c>
      <c r="D77" t="s">
        <v>14</v>
      </c>
      <c r="F77">
        <v>390</v>
      </c>
      <c r="I77">
        <f t="shared" si="1"/>
        <v>390</v>
      </c>
      <c r="J77">
        <v>390</v>
      </c>
      <c r="K77">
        <v>255</v>
      </c>
      <c r="L77">
        <v>45</v>
      </c>
      <c r="M77">
        <v>195</v>
      </c>
      <c r="N77">
        <v>135</v>
      </c>
    </row>
    <row r="78" spans="1:14" x14ac:dyDescent="0.25">
      <c r="A78" s="6" t="s">
        <v>260</v>
      </c>
      <c r="B78" t="s">
        <v>57</v>
      </c>
      <c r="C78" t="s">
        <v>261</v>
      </c>
      <c r="D78" t="s">
        <v>14</v>
      </c>
      <c r="F78">
        <v>660</v>
      </c>
      <c r="I78">
        <f t="shared" si="1"/>
        <v>660</v>
      </c>
      <c r="J78">
        <v>660</v>
      </c>
      <c r="K78">
        <v>525</v>
      </c>
      <c r="L78">
        <v>60</v>
      </c>
      <c r="M78">
        <v>465</v>
      </c>
      <c r="N78">
        <v>135</v>
      </c>
    </row>
    <row r="79" spans="1:14" x14ac:dyDescent="0.25">
      <c r="A79" s="6" t="s">
        <v>500</v>
      </c>
      <c r="B79" t="s">
        <v>17</v>
      </c>
      <c r="C79" t="s">
        <v>501</v>
      </c>
      <c r="D79" t="s">
        <v>14</v>
      </c>
      <c r="F79">
        <v>615</v>
      </c>
      <c r="I79">
        <f t="shared" si="1"/>
        <v>615</v>
      </c>
      <c r="J79">
        <v>615</v>
      </c>
      <c r="K79">
        <v>465</v>
      </c>
      <c r="L79">
        <v>45</v>
      </c>
      <c r="M79">
        <v>375</v>
      </c>
      <c r="N79">
        <v>150</v>
      </c>
    </row>
    <row r="80" spans="1:14" x14ac:dyDescent="0.25">
      <c r="A80" s="6" t="s">
        <v>500</v>
      </c>
      <c r="B80" t="s">
        <v>34</v>
      </c>
      <c r="C80" t="s">
        <v>502</v>
      </c>
      <c r="D80" t="s">
        <v>14</v>
      </c>
      <c r="F80">
        <v>330</v>
      </c>
      <c r="I80">
        <f t="shared" si="1"/>
        <v>330</v>
      </c>
      <c r="J80">
        <v>330</v>
      </c>
      <c r="K80">
        <v>210</v>
      </c>
      <c r="L80">
        <v>30</v>
      </c>
      <c r="M80">
        <v>135</v>
      </c>
      <c r="N80">
        <v>120</v>
      </c>
    </row>
    <row r="81" spans="1:14" x14ac:dyDescent="0.25">
      <c r="A81" s="6" t="s">
        <v>500</v>
      </c>
      <c r="B81" t="s">
        <v>117</v>
      </c>
      <c r="C81" t="s">
        <v>503</v>
      </c>
      <c r="D81" t="s">
        <v>14</v>
      </c>
      <c r="F81">
        <v>465</v>
      </c>
      <c r="I81">
        <f t="shared" si="1"/>
        <v>465</v>
      </c>
      <c r="J81">
        <v>465</v>
      </c>
      <c r="K81">
        <v>375</v>
      </c>
      <c r="L81">
        <v>0</v>
      </c>
      <c r="M81">
        <v>345</v>
      </c>
      <c r="N81">
        <v>90</v>
      </c>
    </row>
    <row r="82" spans="1:14" x14ac:dyDescent="0.25">
      <c r="A82" s="6" t="s">
        <v>504</v>
      </c>
      <c r="B82" t="s">
        <v>17</v>
      </c>
      <c r="C82" t="s">
        <v>505</v>
      </c>
      <c r="D82" t="s">
        <v>14</v>
      </c>
      <c r="F82">
        <v>825</v>
      </c>
      <c r="I82">
        <f t="shared" si="1"/>
        <v>825</v>
      </c>
      <c r="J82">
        <v>825</v>
      </c>
      <c r="K82">
        <v>630</v>
      </c>
      <c r="L82">
        <v>105</v>
      </c>
      <c r="M82">
        <v>510</v>
      </c>
      <c r="N82">
        <v>195</v>
      </c>
    </row>
    <row r="83" spans="1:14" x14ac:dyDescent="0.25">
      <c r="A83" s="6" t="s">
        <v>504</v>
      </c>
      <c r="B83" t="s">
        <v>34</v>
      </c>
      <c r="C83" t="s">
        <v>506</v>
      </c>
      <c r="D83" t="s">
        <v>14</v>
      </c>
      <c r="F83">
        <v>510</v>
      </c>
      <c r="I83">
        <f t="shared" si="1"/>
        <v>510</v>
      </c>
      <c r="J83">
        <v>510</v>
      </c>
      <c r="K83">
        <v>495</v>
      </c>
      <c r="L83">
        <v>90</v>
      </c>
      <c r="M83">
        <v>375</v>
      </c>
      <c r="N83">
        <v>15</v>
      </c>
    </row>
    <row r="84" spans="1:14" x14ac:dyDescent="0.25">
      <c r="A84" s="6">
        <v>5823</v>
      </c>
      <c r="B84" t="s">
        <v>17</v>
      </c>
      <c r="C84" t="s">
        <v>507</v>
      </c>
      <c r="D84" t="s">
        <v>14</v>
      </c>
      <c r="F84">
        <v>645</v>
      </c>
      <c r="I84">
        <f t="shared" si="1"/>
        <v>645</v>
      </c>
      <c r="J84">
        <v>645</v>
      </c>
      <c r="K84">
        <v>570</v>
      </c>
      <c r="L84">
        <v>30</v>
      </c>
      <c r="M84">
        <v>495</v>
      </c>
      <c r="N84">
        <v>75</v>
      </c>
    </row>
    <row r="85" spans="1:14" x14ac:dyDescent="0.25">
      <c r="A85" s="6">
        <v>5823</v>
      </c>
      <c r="B85" t="s">
        <v>48</v>
      </c>
      <c r="C85" t="s">
        <v>508</v>
      </c>
      <c r="D85" t="s">
        <v>14</v>
      </c>
      <c r="F85">
        <v>555</v>
      </c>
      <c r="I85">
        <f t="shared" si="1"/>
        <v>555</v>
      </c>
      <c r="J85">
        <v>555</v>
      </c>
      <c r="K85">
        <v>585</v>
      </c>
      <c r="L85">
        <v>30</v>
      </c>
      <c r="M85">
        <v>510</v>
      </c>
      <c r="N85">
        <v>-30</v>
      </c>
    </row>
    <row r="86" spans="1:14" x14ac:dyDescent="0.25">
      <c r="A86" s="6">
        <v>5826</v>
      </c>
      <c r="B86" t="s">
        <v>17</v>
      </c>
      <c r="C86" t="s">
        <v>509</v>
      </c>
      <c r="D86" t="s">
        <v>14</v>
      </c>
      <c r="F86">
        <v>510</v>
      </c>
      <c r="I86">
        <f t="shared" si="1"/>
        <v>510</v>
      </c>
      <c r="J86">
        <v>510</v>
      </c>
      <c r="K86">
        <v>495</v>
      </c>
      <c r="L86">
        <v>15</v>
      </c>
      <c r="M86">
        <v>435</v>
      </c>
      <c r="N86">
        <v>15</v>
      </c>
    </row>
    <row r="87" spans="1:14" x14ac:dyDescent="0.25">
      <c r="A87" s="6">
        <v>5826</v>
      </c>
      <c r="B87" t="s">
        <v>34</v>
      </c>
      <c r="C87" t="s">
        <v>510</v>
      </c>
      <c r="D87" t="s">
        <v>14</v>
      </c>
      <c r="F87">
        <v>510</v>
      </c>
      <c r="I87">
        <f t="shared" si="1"/>
        <v>510</v>
      </c>
      <c r="J87">
        <v>510</v>
      </c>
      <c r="K87">
        <v>510</v>
      </c>
      <c r="L87">
        <v>45</v>
      </c>
      <c r="M87">
        <v>464</v>
      </c>
      <c r="N87">
        <v>0</v>
      </c>
    </row>
    <row r="88" spans="1:14" x14ac:dyDescent="0.25">
      <c r="A88" s="6">
        <v>5826</v>
      </c>
      <c r="B88" t="s">
        <v>26</v>
      </c>
      <c r="C88" t="s">
        <v>511</v>
      </c>
      <c r="D88" t="s">
        <v>14</v>
      </c>
      <c r="F88">
        <v>300</v>
      </c>
      <c r="I88">
        <f t="shared" si="1"/>
        <v>300</v>
      </c>
      <c r="J88">
        <v>300</v>
      </c>
      <c r="K88">
        <v>315</v>
      </c>
      <c r="L88">
        <v>30</v>
      </c>
      <c r="M88">
        <v>285</v>
      </c>
      <c r="N88">
        <v>-15</v>
      </c>
    </row>
    <row r="89" spans="1:14" x14ac:dyDescent="0.25">
      <c r="A89" s="6">
        <v>5834</v>
      </c>
      <c r="B89" t="s">
        <v>12</v>
      </c>
      <c r="C89" t="s">
        <v>512</v>
      </c>
      <c r="D89" t="s">
        <v>14</v>
      </c>
      <c r="F89">
        <v>600</v>
      </c>
      <c r="I89">
        <f t="shared" si="1"/>
        <v>600</v>
      </c>
      <c r="J89">
        <v>600</v>
      </c>
      <c r="K89">
        <v>585</v>
      </c>
      <c r="L89">
        <v>15</v>
      </c>
      <c r="M89">
        <v>495</v>
      </c>
      <c r="N89">
        <v>15</v>
      </c>
    </row>
    <row r="90" spans="1:14" x14ac:dyDescent="0.25">
      <c r="A90" s="6">
        <v>5834</v>
      </c>
      <c r="B90" t="s">
        <v>17</v>
      </c>
      <c r="C90" t="s">
        <v>513</v>
      </c>
      <c r="D90" t="s">
        <v>14</v>
      </c>
      <c r="F90">
        <v>810</v>
      </c>
      <c r="I90">
        <f t="shared" si="1"/>
        <v>810</v>
      </c>
      <c r="J90">
        <v>810</v>
      </c>
      <c r="K90">
        <v>810</v>
      </c>
      <c r="L90">
        <v>165</v>
      </c>
      <c r="M90">
        <v>570</v>
      </c>
      <c r="N90">
        <v>0</v>
      </c>
    </row>
    <row r="91" spans="1:14" x14ac:dyDescent="0.25">
      <c r="A91" s="6">
        <v>5835</v>
      </c>
      <c r="B91" t="s">
        <v>12</v>
      </c>
      <c r="C91" t="s">
        <v>514</v>
      </c>
      <c r="D91" t="s">
        <v>14</v>
      </c>
      <c r="F91">
        <v>600</v>
      </c>
      <c r="I91">
        <f t="shared" si="1"/>
        <v>600</v>
      </c>
      <c r="J91">
        <v>600</v>
      </c>
      <c r="K91">
        <v>240</v>
      </c>
      <c r="L91">
        <v>15</v>
      </c>
      <c r="M91">
        <v>225</v>
      </c>
      <c r="N91">
        <v>360</v>
      </c>
    </row>
    <row r="92" spans="1:14" x14ac:dyDescent="0.25">
      <c r="A92" s="6">
        <v>5835</v>
      </c>
      <c r="B92" t="s">
        <v>17</v>
      </c>
      <c r="C92" t="s">
        <v>515</v>
      </c>
      <c r="D92" t="s">
        <v>14</v>
      </c>
      <c r="F92">
        <v>810</v>
      </c>
      <c r="I92">
        <f t="shared" si="1"/>
        <v>810</v>
      </c>
      <c r="J92">
        <v>810</v>
      </c>
      <c r="K92">
        <v>255</v>
      </c>
      <c r="L92">
        <v>0</v>
      </c>
      <c r="M92">
        <v>255</v>
      </c>
      <c r="N92">
        <v>555</v>
      </c>
    </row>
    <row r="93" spans="1:14" x14ac:dyDescent="0.25">
      <c r="A93" s="6">
        <v>5841</v>
      </c>
      <c r="B93" t="s">
        <v>12</v>
      </c>
      <c r="C93" t="s">
        <v>516</v>
      </c>
      <c r="D93" t="s">
        <v>14</v>
      </c>
      <c r="F93">
        <v>0</v>
      </c>
      <c r="H93">
        <v>510</v>
      </c>
      <c r="I93">
        <f t="shared" si="1"/>
        <v>510</v>
      </c>
      <c r="J93">
        <v>510</v>
      </c>
      <c r="K93">
        <v>375</v>
      </c>
      <c r="L93">
        <v>60</v>
      </c>
      <c r="M93">
        <v>0</v>
      </c>
      <c r="N93">
        <v>135</v>
      </c>
    </row>
    <row r="94" spans="1:14" x14ac:dyDescent="0.25">
      <c r="A94" s="6">
        <v>5841</v>
      </c>
      <c r="B94" t="s">
        <v>17</v>
      </c>
      <c r="C94" t="s">
        <v>517</v>
      </c>
      <c r="D94" t="s">
        <v>14</v>
      </c>
      <c r="F94">
        <v>0</v>
      </c>
      <c r="H94">
        <v>510</v>
      </c>
      <c r="I94">
        <f t="shared" si="1"/>
        <v>510</v>
      </c>
      <c r="J94">
        <v>510</v>
      </c>
      <c r="K94">
        <v>360</v>
      </c>
      <c r="L94">
        <v>90</v>
      </c>
      <c r="M94">
        <v>0</v>
      </c>
      <c r="N94">
        <v>150</v>
      </c>
    </row>
    <row r="95" spans="1:14" x14ac:dyDescent="0.25">
      <c r="A95" s="6">
        <v>5841</v>
      </c>
      <c r="B95" t="s">
        <v>60</v>
      </c>
      <c r="C95" t="s">
        <v>518</v>
      </c>
      <c r="D95" t="s">
        <v>14</v>
      </c>
      <c r="F95">
        <v>0</v>
      </c>
      <c r="H95">
        <v>510</v>
      </c>
      <c r="I95">
        <f t="shared" si="1"/>
        <v>510</v>
      </c>
      <c r="J95">
        <v>510</v>
      </c>
      <c r="K95">
        <v>345</v>
      </c>
      <c r="L95">
        <v>60</v>
      </c>
      <c r="M95">
        <v>0</v>
      </c>
      <c r="N95">
        <v>165</v>
      </c>
    </row>
    <row r="96" spans="1:14" x14ac:dyDescent="0.25">
      <c r="A96" s="6">
        <v>5844</v>
      </c>
      <c r="B96" t="s">
        <v>34</v>
      </c>
      <c r="C96" t="s">
        <v>519</v>
      </c>
      <c r="D96" t="s">
        <v>14</v>
      </c>
      <c r="F96">
        <v>0</v>
      </c>
      <c r="H96">
        <v>585</v>
      </c>
      <c r="I96">
        <f t="shared" si="1"/>
        <v>585</v>
      </c>
      <c r="J96">
        <v>585</v>
      </c>
      <c r="K96">
        <v>495</v>
      </c>
      <c r="L96">
        <v>75</v>
      </c>
      <c r="M96">
        <v>330</v>
      </c>
      <c r="N96">
        <v>90</v>
      </c>
    </row>
    <row r="97" spans="1:14" x14ac:dyDescent="0.25">
      <c r="A97" s="6">
        <v>5844</v>
      </c>
      <c r="B97" t="s">
        <v>48</v>
      </c>
      <c r="C97" t="s">
        <v>520</v>
      </c>
      <c r="D97" t="s">
        <v>14</v>
      </c>
      <c r="F97">
        <v>0</v>
      </c>
      <c r="H97">
        <v>540</v>
      </c>
      <c r="I97">
        <f t="shared" si="1"/>
        <v>540</v>
      </c>
      <c r="J97">
        <v>540</v>
      </c>
      <c r="K97">
        <v>390</v>
      </c>
      <c r="L97">
        <v>105</v>
      </c>
      <c r="M97">
        <v>195</v>
      </c>
      <c r="N97">
        <v>150</v>
      </c>
    </row>
    <row r="98" spans="1:14" x14ac:dyDescent="0.25">
      <c r="A98" s="6">
        <v>5844</v>
      </c>
      <c r="B98" t="s">
        <v>60</v>
      </c>
      <c r="C98" t="s">
        <v>521</v>
      </c>
      <c r="D98" t="s">
        <v>14</v>
      </c>
      <c r="F98">
        <v>0</v>
      </c>
      <c r="H98">
        <v>675</v>
      </c>
      <c r="I98">
        <f t="shared" si="1"/>
        <v>675</v>
      </c>
      <c r="J98">
        <v>675</v>
      </c>
      <c r="K98">
        <v>450</v>
      </c>
      <c r="L98">
        <v>90</v>
      </c>
      <c r="M98">
        <v>225</v>
      </c>
      <c r="N98">
        <v>225</v>
      </c>
    </row>
    <row r="99" spans="1:14" x14ac:dyDescent="0.25">
      <c r="A99" s="6" t="s">
        <v>522</v>
      </c>
      <c r="B99" t="s">
        <v>12</v>
      </c>
      <c r="C99" t="s">
        <v>523</v>
      </c>
      <c r="D99" t="s">
        <v>14</v>
      </c>
      <c r="F99">
        <v>855</v>
      </c>
      <c r="I99">
        <f t="shared" ref="I99:I139" si="2">+H99+G99+F99</f>
        <v>855</v>
      </c>
      <c r="J99">
        <v>855</v>
      </c>
      <c r="K99">
        <v>660</v>
      </c>
      <c r="L99">
        <v>60</v>
      </c>
      <c r="M99">
        <v>705</v>
      </c>
      <c r="N99">
        <v>195</v>
      </c>
    </row>
    <row r="100" spans="1:14" x14ac:dyDescent="0.25">
      <c r="A100" s="6" t="s">
        <v>522</v>
      </c>
      <c r="B100" t="s">
        <v>17</v>
      </c>
      <c r="C100" t="s">
        <v>524</v>
      </c>
      <c r="D100" t="s">
        <v>14</v>
      </c>
      <c r="F100">
        <v>600</v>
      </c>
      <c r="I100">
        <f t="shared" si="2"/>
        <v>600</v>
      </c>
      <c r="J100">
        <v>600</v>
      </c>
      <c r="K100">
        <v>300</v>
      </c>
      <c r="L100">
        <v>45</v>
      </c>
      <c r="M100">
        <v>360</v>
      </c>
      <c r="N100">
        <v>300</v>
      </c>
    </row>
    <row r="101" spans="1:14" x14ac:dyDescent="0.25">
      <c r="A101" s="6">
        <v>5852</v>
      </c>
      <c r="B101" t="s">
        <v>17</v>
      </c>
      <c r="C101" t="s">
        <v>525</v>
      </c>
      <c r="D101" t="s">
        <v>14</v>
      </c>
      <c r="F101">
        <v>0</v>
      </c>
      <c r="H101">
        <v>540</v>
      </c>
      <c r="I101">
        <f t="shared" si="2"/>
        <v>540</v>
      </c>
      <c r="J101">
        <v>540</v>
      </c>
      <c r="K101">
        <v>435</v>
      </c>
      <c r="L101">
        <v>105</v>
      </c>
      <c r="M101">
        <v>225</v>
      </c>
      <c r="N101">
        <v>105</v>
      </c>
    </row>
    <row r="102" spans="1:14" x14ac:dyDescent="0.25">
      <c r="A102" s="6">
        <v>5852</v>
      </c>
      <c r="B102" t="s">
        <v>34</v>
      </c>
      <c r="C102" t="s">
        <v>526</v>
      </c>
      <c r="D102" t="s">
        <v>14</v>
      </c>
      <c r="F102">
        <v>0</v>
      </c>
      <c r="H102">
        <v>510</v>
      </c>
      <c r="I102">
        <f t="shared" si="2"/>
        <v>510</v>
      </c>
      <c r="J102">
        <v>510</v>
      </c>
      <c r="K102">
        <v>510</v>
      </c>
      <c r="L102">
        <v>135</v>
      </c>
      <c r="M102">
        <v>285</v>
      </c>
      <c r="N102">
        <v>0</v>
      </c>
    </row>
    <row r="103" spans="1:14" x14ac:dyDescent="0.25">
      <c r="A103" s="6">
        <v>5852</v>
      </c>
      <c r="B103" t="s">
        <v>48</v>
      </c>
      <c r="C103" t="s">
        <v>527</v>
      </c>
      <c r="D103" t="s">
        <v>14</v>
      </c>
      <c r="F103">
        <v>0</v>
      </c>
      <c r="H103">
        <v>450</v>
      </c>
      <c r="I103">
        <f t="shared" si="2"/>
        <v>450</v>
      </c>
      <c r="J103">
        <v>450</v>
      </c>
      <c r="K103">
        <v>420</v>
      </c>
      <c r="L103">
        <v>165</v>
      </c>
      <c r="M103">
        <v>165</v>
      </c>
      <c r="N103">
        <v>30</v>
      </c>
    </row>
    <row r="104" spans="1:14" x14ac:dyDescent="0.25">
      <c r="A104" s="6" t="s">
        <v>528</v>
      </c>
      <c r="B104" t="s">
        <v>12</v>
      </c>
      <c r="C104" t="s">
        <v>529</v>
      </c>
      <c r="D104" t="s">
        <v>14</v>
      </c>
      <c r="F104">
        <v>600</v>
      </c>
      <c r="I104">
        <f t="shared" si="2"/>
        <v>600</v>
      </c>
      <c r="J104">
        <v>600</v>
      </c>
      <c r="K104">
        <v>450</v>
      </c>
      <c r="L104">
        <v>60</v>
      </c>
      <c r="M104">
        <v>345</v>
      </c>
      <c r="N104">
        <v>150</v>
      </c>
    </row>
    <row r="105" spans="1:14" x14ac:dyDescent="0.25">
      <c r="A105" s="6" t="s">
        <v>528</v>
      </c>
      <c r="B105" t="s">
        <v>17</v>
      </c>
      <c r="C105" t="s">
        <v>530</v>
      </c>
      <c r="D105" t="s">
        <v>14</v>
      </c>
      <c r="F105">
        <v>600</v>
      </c>
      <c r="I105">
        <f t="shared" si="2"/>
        <v>600</v>
      </c>
      <c r="J105">
        <v>600</v>
      </c>
      <c r="K105">
        <v>275</v>
      </c>
      <c r="L105">
        <v>15</v>
      </c>
      <c r="M105">
        <v>230</v>
      </c>
      <c r="N105">
        <v>325</v>
      </c>
    </row>
    <row r="106" spans="1:14" x14ac:dyDescent="0.25">
      <c r="A106" s="6">
        <v>5873</v>
      </c>
      <c r="B106" t="s">
        <v>17</v>
      </c>
      <c r="C106" t="s">
        <v>531</v>
      </c>
      <c r="D106" t="s">
        <v>14</v>
      </c>
      <c r="F106">
        <v>0</v>
      </c>
      <c r="H106">
        <v>675</v>
      </c>
      <c r="I106">
        <f t="shared" si="2"/>
        <v>675</v>
      </c>
      <c r="J106">
        <v>675</v>
      </c>
      <c r="K106">
        <v>660</v>
      </c>
      <c r="L106">
        <v>270</v>
      </c>
      <c r="M106">
        <v>300</v>
      </c>
      <c r="N106">
        <v>15</v>
      </c>
    </row>
    <row r="107" spans="1:14" x14ac:dyDescent="0.25">
      <c r="A107" s="6">
        <v>5873</v>
      </c>
      <c r="B107" t="s">
        <v>48</v>
      </c>
      <c r="C107" t="s">
        <v>532</v>
      </c>
      <c r="D107" t="s">
        <v>14</v>
      </c>
      <c r="F107">
        <v>0</v>
      </c>
      <c r="H107">
        <v>660</v>
      </c>
      <c r="I107">
        <f t="shared" si="2"/>
        <v>660</v>
      </c>
      <c r="J107">
        <v>660</v>
      </c>
      <c r="K107">
        <v>540</v>
      </c>
      <c r="L107">
        <v>180</v>
      </c>
      <c r="M107">
        <v>255</v>
      </c>
      <c r="N107">
        <v>120</v>
      </c>
    </row>
    <row r="108" spans="1:14" x14ac:dyDescent="0.25">
      <c r="A108" s="6">
        <v>5873</v>
      </c>
      <c r="B108" t="s">
        <v>60</v>
      </c>
      <c r="C108" t="s">
        <v>533</v>
      </c>
      <c r="D108" t="s">
        <v>14</v>
      </c>
      <c r="F108">
        <v>0</v>
      </c>
      <c r="H108">
        <v>795</v>
      </c>
      <c r="I108">
        <f t="shared" si="2"/>
        <v>795</v>
      </c>
      <c r="J108">
        <v>795</v>
      </c>
      <c r="K108">
        <v>570</v>
      </c>
      <c r="L108">
        <v>270</v>
      </c>
      <c r="M108">
        <v>180</v>
      </c>
      <c r="N108">
        <v>225</v>
      </c>
    </row>
    <row r="109" spans="1:14" x14ac:dyDescent="0.25">
      <c r="A109" s="6" t="s">
        <v>534</v>
      </c>
      <c r="B109" t="s">
        <v>17</v>
      </c>
      <c r="C109" t="s">
        <v>535</v>
      </c>
      <c r="D109" t="s">
        <v>14</v>
      </c>
      <c r="F109">
        <v>720</v>
      </c>
      <c r="I109">
        <f t="shared" si="2"/>
        <v>720</v>
      </c>
      <c r="J109">
        <v>720</v>
      </c>
      <c r="K109">
        <v>780</v>
      </c>
      <c r="L109">
        <v>60</v>
      </c>
      <c r="M109">
        <v>719</v>
      </c>
      <c r="N109">
        <v>-60</v>
      </c>
    </row>
    <row r="110" spans="1:14" x14ac:dyDescent="0.25">
      <c r="A110" s="6" t="s">
        <v>534</v>
      </c>
      <c r="B110" t="s">
        <v>177</v>
      </c>
      <c r="C110" t="s">
        <v>536</v>
      </c>
      <c r="D110" t="s">
        <v>14</v>
      </c>
      <c r="F110">
        <v>585</v>
      </c>
      <c r="I110">
        <f t="shared" si="2"/>
        <v>585</v>
      </c>
      <c r="J110">
        <v>585</v>
      </c>
      <c r="K110">
        <v>540</v>
      </c>
      <c r="L110">
        <v>120</v>
      </c>
      <c r="M110">
        <v>420</v>
      </c>
      <c r="N110">
        <v>45</v>
      </c>
    </row>
    <row r="111" spans="1:14" x14ac:dyDescent="0.25">
      <c r="A111" s="6" t="s">
        <v>534</v>
      </c>
      <c r="B111" t="s">
        <v>60</v>
      </c>
      <c r="C111" t="s">
        <v>537</v>
      </c>
      <c r="D111" t="s">
        <v>14</v>
      </c>
      <c r="F111">
        <v>360</v>
      </c>
      <c r="I111">
        <f t="shared" si="2"/>
        <v>360</v>
      </c>
      <c r="J111">
        <v>360</v>
      </c>
      <c r="K111">
        <v>390</v>
      </c>
      <c r="L111">
        <v>45</v>
      </c>
      <c r="M111">
        <v>345</v>
      </c>
      <c r="N111">
        <v>-30</v>
      </c>
    </row>
    <row r="112" spans="1:14" x14ac:dyDescent="0.25">
      <c r="A112" s="6" t="s">
        <v>538</v>
      </c>
      <c r="B112" t="s">
        <v>17</v>
      </c>
      <c r="C112" t="s">
        <v>539</v>
      </c>
      <c r="D112" t="s">
        <v>14</v>
      </c>
      <c r="F112">
        <v>570</v>
      </c>
      <c r="I112">
        <f t="shared" si="2"/>
        <v>570</v>
      </c>
      <c r="J112">
        <v>570</v>
      </c>
      <c r="K112">
        <v>750</v>
      </c>
      <c r="L112">
        <v>150</v>
      </c>
      <c r="M112">
        <v>570</v>
      </c>
      <c r="N112">
        <v>-180</v>
      </c>
    </row>
    <row r="113" spans="1:14" x14ac:dyDescent="0.25">
      <c r="A113" s="6" t="s">
        <v>538</v>
      </c>
      <c r="B113" t="s">
        <v>177</v>
      </c>
      <c r="C113" t="s">
        <v>540</v>
      </c>
      <c r="D113" t="s">
        <v>14</v>
      </c>
      <c r="F113">
        <v>465</v>
      </c>
      <c r="I113">
        <f t="shared" si="2"/>
        <v>465</v>
      </c>
      <c r="J113">
        <v>465</v>
      </c>
      <c r="K113">
        <v>615</v>
      </c>
      <c r="L113">
        <v>120</v>
      </c>
      <c r="M113">
        <v>464</v>
      </c>
      <c r="N113">
        <v>-150</v>
      </c>
    </row>
    <row r="114" spans="1:14" x14ac:dyDescent="0.25">
      <c r="A114" s="6" t="s">
        <v>538</v>
      </c>
      <c r="B114" t="s">
        <v>60</v>
      </c>
      <c r="C114" t="s">
        <v>541</v>
      </c>
      <c r="D114" t="s">
        <v>14</v>
      </c>
      <c r="F114">
        <v>360</v>
      </c>
      <c r="I114">
        <f t="shared" si="2"/>
        <v>360</v>
      </c>
      <c r="J114">
        <v>360</v>
      </c>
      <c r="K114">
        <v>480</v>
      </c>
      <c r="L114">
        <v>90</v>
      </c>
      <c r="M114">
        <v>360</v>
      </c>
      <c r="N114">
        <v>-120</v>
      </c>
    </row>
    <row r="115" spans="1:14" x14ac:dyDescent="0.25">
      <c r="A115" s="6" t="s">
        <v>347</v>
      </c>
      <c r="B115" t="s">
        <v>17</v>
      </c>
      <c r="C115" t="s">
        <v>542</v>
      </c>
      <c r="D115" t="s">
        <v>14</v>
      </c>
      <c r="F115">
        <v>0</v>
      </c>
      <c r="I115">
        <f t="shared" si="2"/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x14ac:dyDescent="0.25">
      <c r="A116" s="6" t="s">
        <v>347</v>
      </c>
      <c r="B116" t="s">
        <v>177</v>
      </c>
      <c r="C116" t="s">
        <v>543</v>
      </c>
      <c r="D116" t="s">
        <v>14</v>
      </c>
      <c r="F116">
        <v>0</v>
      </c>
      <c r="I116">
        <f t="shared" si="2"/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25">
      <c r="A117" s="6" t="s">
        <v>347</v>
      </c>
      <c r="B117" t="s">
        <v>60</v>
      </c>
      <c r="C117" t="s">
        <v>544</v>
      </c>
      <c r="D117" t="s">
        <v>14</v>
      </c>
      <c r="F117">
        <v>0</v>
      </c>
      <c r="I117">
        <f t="shared" si="2"/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25">
      <c r="A118" s="6" t="s">
        <v>545</v>
      </c>
      <c r="B118" t="s">
        <v>37</v>
      </c>
      <c r="C118" t="s">
        <v>546</v>
      </c>
      <c r="D118" t="s">
        <v>14</v>
      </c>
      <c r="F118">
        <v>300</v>
      </c>
      <c r="I118">
        <f t="shared" si="2"/>
        <v>300</v>
      </c>
      <c r="J118">
        <v>300</v>
      </c>
      <c r="K118">
        <v>240</v>
      </c>
      <c r="L118">
        <v>60</v>
      </c>
      <c r="M118">
        <v>180</v>
      </c>
      <c r="N118">
        <v>60</v>
      </c>
    </row>
    <row r="119" spans="1:14" x14ac:dyDescent="0.25">
      <c r="A119" s="6" t="s">
        <v>545</v>
      </c>
      <c r="B119" t="s">
        <v>177</v>
      </c>
      <c r="C119" t="s">
        <v>547</v>
      </c>
      <c r="D119" t="s">
        <v>14</v>
      </c>
      <c r="F119">
        <v>300</v>
      </c>
      <c r="I119">
        <f t="shared" si="2"/>
        <v>300</v>
      </c>
      <c r="J119">
        <v>300</v>
      </c>
      <c r="K119">
        <v>225</v>
      </c>
      <c r="L119">
        <v>75</v>
      </c>
      <c r="M119">
        <v>150</v>
      </c>
      <c r="N119">
        <v>75</v>
      </c>
    </row>
    <row r="120" spans="1:14" x14ac:dyDescent="0.25">
      <c r="A120" s="6" t="s">
        <v>548</v>
      </c>
      <c r="B120" t="s">
        <v>91</v>
      </c>
      <c r="C120" t="s">
        <v>549</v>
      </c>
      <c r="D120" t="s">
        <v>14</v>
      </c>
      <c r="F120">
        <v>300</v>
      </c>
      <c r="I120">
        <f t="shared" si="2"/>
        <v>300</v>
      </c>
      <c r="J120">
        <v>300</v>
      </c>
      <c r="K120">
        <v>135</v>
      </c>
      <c r="L120">
        <v>30</v>
      </c>
      <c r="M120">
        <v>105</v>
      </c>
      <c r="N120">
        <v>165</v>
      </c>
    </row>
    <row r="121" spans="1:14" x14ac:dyDescent="0.25">
      <c r="A121" s="6" t="s">
        <v>550</v>
      </c>
      <c r="B121" t="s">
        <v>17</v>
      </c>
      <c r="C121" t="s">
        <v>551</v>
      </c>
      <c r="D121" t="s">
        <v>14</v>
      </c>
      <c r="F121">
        <v>450</v>
      </c>
      <c r="I121">
        <f t="shared" si="2"/>
        <v>450</v>
      </c>
      <c r="J121">
        <v>450</v>
      </c>
      <c r="K121">
        <v>330</v>
      </c>
      <c r="L121">
        <v>45</v>
      </c>
      <c r="M121">
        <v>270</v>
      </c>
      <c r="N121">
        <v>120</v>
      </c>
    </row>
    <row r="122" spans="1:14" x14ac:dyDescent="0.25">
      <c r="A122" s="6" t="s">
        <v>550</v>
      </c>
      <c r="B122" t="s">
        <v>91</v>
      </c>
      <c r="C122" t="s">
        <v>552</v>
      </c>
      <c r="D122" t="s">
        <v>14</v>
      </c>
      <c r="F122">
        <v>360</v>
      </c>
      <c r="I122">
        <f t="shared" si="2"/>
        <v>360</v>
      </c>
      <c r="J122">
        <v>360</v>
      </c>
      <c r="K122">
        <v>300</v>
      </c>
      <c r="L122">
        <v>45</v>
      </c>
      <c r="M122">
        <v>240</v>
      </c>
      <c r="N122">
        <v>60</v>
      </c>
    </row>
    <row r="123" spans="1:14" x14ac:dyDescent="0.25">
      <c r="A123" s="6" t="s">
        <v>553</v>
      </c>
      <c r="B123" t="s">
        <v>17</v>
      </c>
      <c r="C123" t="s">
        <v>554</v>
      </c>
      <c r="D123" t="s">
        <v>14</v>
      </c>
      <c r="F123">
        <v>300</v>
      </c>
      <c r="I123">
        <f t="shared" si="2"/>
        <v>300</v>
      </c>
      <c r="J123">
        <v>300</v>
      </c>
      <c r="K123">
        <v>165</v>
      </c>
      <c r="L123">
        <v>30</v>
      </c>
      <c r="M123">
        <v>135</v>
      </c>
      <c r="N123">
        <v>135</v>
      </c>
    </row>
    <row r="124" spans="1:14" x14ac:dyDescent="0.25">
      <c r="A124" s="6" t="s">
        <v>553</v>
      </c>
      <c r="B124" t="s">
        <v>177</v>
      </c>
      <c r="C124" t="s">
        <v>555</v>
      </c>
      <c r="D124" t="s">
        <v>14</v>
      </c>
      <c r="F124">
        <v>300</v>
      </c>
      <c r="I124">
        <f t="shared" si="2"/>
        <v>300</v>
      </c>
      <c r="J124">
        <v>300</v>
      </c>
      <c r="K124">
        <v>270</v>
      </c>
      <c r="L124">
        <v>30</v>
      </c>
      <c r="M124">
        <v>240</v>
      </c>
      <c r="N124">
        <v>30</v>
      </c>
    </row>
    <row r="125" spans="1:14" x14ac:dyDescent="0.25">
      <c r="A125" s="6">
        <v>9530</v>
      </c>
      <c r="B125" t="s">
        <v>91</v>
      </c>
      <c r="C125" t="s">
        <v>556</v>
      </c>
      <c r="D125" t="s">
        <v>14</v>
      </c>
      <c r="F125">
        <v>1005</v>
      </c>
      <c r="I125">
        <f t="shared" si="2"/>
        <v>1005</v>
      </c>
      <c r="J125">
        <v>1005</v>
      </c>
      <c r="K125">
        <v>345</v>
      </c>
      <c r="L125">
        <v>45</v>
      </c>
      <c r="M125">
        <v>285</v>
      </c>
      <c r="N125">
        <v>660</v>
      </c>
    </row>
    <row r="126" spans="1:14" x14ac:dyDescent="0.25">
      <c r="A126" s="6">
        <v>9541</v>
      </c>
      <c r="B126" t="s">
        <v>91</v>
      </c>
      <c r="C126" t="s">
        <v>557</v>
      </c>
      <c r="D126" t="s">
        <v>14</v>
      </c>
      <c r="F126">
        <v>1500</v>
      </c>
      <c r="I126">
        <f t="shared" si="2"/>
        <v>1500</v>
      </c>
      <c r="J126">
        <v>1500</v>
      </c>
      <c r="K126">
        <v>615</v>
      </c>
      <c r="L126">
        <v>105</v>
      </c>
      <c r="M126">
        <v>510</v>
      </c>
      <c r="N126">
        <v>885</v>
      </c>
    </row>
    <row r="127" spans="1:14" x14ac:dyDescent="0.25">
      <c r="A127" s="6">
        <v>9601</v>
      </c>
      <c r="B127" t="s">
        <v>91</v>
      </c>
      <c r="C127" t="s">
        <v>558</v>
      </c>
      <c r="D127" t="s">
        <v>14</v>
      </c>
      <c r="F127">
        <v>480</v>
      </c>
      <c r="I127">
        <f t="shared" si="2"/>
        <v>480</v>
      </c>
      <c r="J127">
        <v>480</v>
      </c>
      <c r="K127">
        <v>420</v>
      </c>
      <c r="L127">
        <v>75</v>
      </c>
      <c r="M127">
        <v>330</v>
      </c>
      <c r="N127">
        <v>60</v>
      </c>
    </row>
    <row r="128" spans="1:14" x14ac:dyDescent="0.25">
      <c r="A128" s="6">
        <v>9601</v>
      </c>
      <c r="B128" t="s">
        <v>34</v>
      </c>
      <c r="C128" t="s">
        <v>559</v>
      </c>
      <c r="D128" t="s">
        <v>14</v>
      </c>
      <c r="F128">
        <v>870</v>
      </c>
      <c r="I128">
        <f t="shared" si="2"/>
        <v>870</v>
      </c>
      <c r="J128">
        <v>870</v>
      </c>
      <c r="K128">
        <v>825</v>
      </c>
      <c r="L128">
        <v>135</v>
      </c>
      <c r="M128">
        <v>674</v>
      </c>
      <c r="N128">
        <v>45</v>
      </c>
    </row>
    <row r="129" spans="1:14" x14ac:dyDescent="0.25">
      <c r="A129" s="6">
        <v>9805</v>
      </c>
      <c r="B129" t="s">
        <v>17</v>
      </c>
      <c r="C129" t="s">
        <v>560</v>
      </c>
      <c r="D129" t="s">
        <v>14</v>
      </c>
      <c r="F129">
        <v>0</v>
      </c>
      <c r="H129">
        <v>660</v>
      </c>
      <c r="I129">
        <f t="shared" si="2"/>
        <v>660</v>
      </c>
      <c r="J129">
        <v>660</v>
      </c>
      <c r="K129">
        <v>465</v>
      </c>
      <c r="L129">
        <v>165</v>
      </c>
      <c r="M129">
        <v>240</v>
      </c>
      <c r="N129">
        <v>195</v>
      </c>
    </row>
    <row r="130" spans="1:14" x14ac:dyDescent="0.25">
      <c r="A130" s="6">
        <v>9805</v>
      </c>
      <c r="B130" t="s">
        <v>48</v>
      </c>
      <c r="C130" t="s">
        <v>561</v>
      </c>
      <c r="D130" t="s">
        <v>14</v>
      </c>
      <c r="F130">
        <v>0</v>
      </c>
      <c r="H130">
        <v>600</v>
      </c>
      <c r="I130">
        <f t="shared" si="2"/>
        <v>600</v>
      </c>
      <c r="J130">
        <v>600</v>
      </c>
      <c r="K130">
        <v>570</v>
      </c>
      <c r="L130">
        <v>165</v>
      </c>
      <c r="M130">
        <v>345</v>
      </c>
      <c r="N130">
        <v>30</v>
      </c>
    </row>
    <row r="131" spans="1:14" x14ac:dyDescent="0.25">
      <c r="A131" s="6" t="s">
        <v>562</v>
      </c>
      <c r="B131" t="s">
        <v>17</v>
      </c>
      <c r="C131" t="s">
        <v>563</v>
      </c>
      <c r="D131" t="s">
        <v>14</v>
      </c>
      <c r="F131">
        <v>390</v>
      </c>
      <c r="H131">
        <v>600</v>
      </c>
      <c r="I131">
        <f t="shared" si="2"/>
        <v>990</v>
      </c>
      <c r="J131">
        <v>990</v>
      </c>
      <c r="K131">
        <v>1050</v>
      </c>
      <c r="L131">
        <v>164</v>
      </c>
      <c r="M131">
        <v>720</v>
      </c>
      <c r="N131">
        <v>-60</v>
      </c>
    </row>
    <row r="132" spans="1:14" x14ac:dyDescent="0.25">
      <c r="A132" s="6" t="s">
        <v>562</v>
      </c>
      <c r="B132" t="s">
        <v>34</v>
      </c>
      <c r="C132" t="s">
        <v>564</v>
      </c>
      <c r="D132" t="s">
        <v>14</v>
      </c>
      <c r="F132">
        <v>435</v>
      </c>
      <c r="H132">
        <v>495</v>
      </c>
      <c r="I132">
        <f t="shared" si="2"/>
        <v>930</v>
      </c>
      <c r="J132">
        <v>930</v>
      </c>
      <c r="K132">
        <v>1005</v>
      </c>
      <c r="L132">
        <v>120</v>
      </c>
      <c r="M132">
        <v>720</v>
      </c>
      <c r="N132">
        <v>-75</v>
      </c>
    </row>
    <row r="133" spans="1:14" x14ac:dyDescent="0.25">
      <c r="A133" s="6" t="s">
        <v>562</v>
      </c>
      <c r="B133" t="s">
        <v>48</v>
      </c>
      <c r="C133" t="s">
        <v>565</v>
      </c>
      <c r="D133" t="s">
        <v>14</v>
      </c>
      <c r="F133">
        <v>375</v>
      </c>
      <c r="H133">
        <v>480</v>
      </c>
      <c r="I133">
        <f t="shared" si="2"/>
        <v>855</v>
      </c>
      <c r="J133">
        <v>855</v>
      </c>
      <c r="K133">
        <v>840</v>
      </c>
      <c r="L133">
        <v>60</v>
      </c>
      <c r="M133">
        <v>630</v>
      </c>
      <c r="N133">
        <v>15</v>
      </c>
    </row>
    <row r="134" spans="1:14" x14ac:dyDescent="0.25">
      <c r="A134" s="6" t="s">
        <v>370</v>
      </c>
      <c r="B134" t="s">
        <v>17</v>
      </c>
      <c r="C134" t="s">
        <v>566</v>
      </c>
      <c r="D134" t="s">
        <v>14</v>
      </c>
      <c r="F134">
        <v>456</v>
      </c>
      <c r="I134">
        <f t="shared" si="2"/>
        <v>456</v>
      </c>
      <c r="J134">
        <v>456</v>
      </c>
      <c r="K134">
        <v>468</v>
      </c>
      <c r="L134">
        <v>60</v>
      </c>
      <c r="M134">
        <v>397</v>
      </c>
      <c r="N134">
        <v>-12</v>
      </c>
    </row>
    <row r="135" spans="1:14" x14ac:dyDescent="0.25">
      <c r="A135" s="6" t="s">
        <v>370</v>
      </c>
      <c r="B135" t="s">
        <v>17</v>
      </c>
      <c r="C135" t="s">
        <v>567</v>
      </c>
      <c r="D135" t="s">
        <v>16</v>
      </c>
      <c r="F135">
        <v>990</v>
      </c>
      <c r="I135">
        <f t="shared" si="2"/>
        <v>990</v>
      </c>
      <c r="J135">
        <v>990</v>
      </c>
      <c r="K135">
        <v>1005</v>
      </c>
      <c r="L135">
        <v>75</v>
      </c>
      <c r="M135">
        <v>941</v>
      </c>
      <c r="N135">
        <v>-15</v>
      </c>
    </row>
    <row r="136" spans="1:14" x14ac:dyDescent="0.25">
      <c r="A136" s="6" t="s">
        <v>370</v>
      </c>
      <c r="B136" t="s">
        <v>37</v>
      </c>
      <c r="C136" t="s">
        <v>568</v>
      </c>
      <c r="D136" t="s">
        <v>14</v>
      </c>
      <c r="F136">
        <v>396</v>
      </c>
      <c r="I136">
        <f t="shared" si="2"/>
        <v>396</v>
      </c>
      <c r="J136">
        <v>396</v>
      </c>
      <c r="K136">
        <v>372</v>
      </c>
      <c r="L136">
        <v>36</v>
      </c>
      <c r="M136">
        <v>324</v>
      </c>
      <c r="N136">
        <v>24</v>
      </c>
    </row>
    <row r="137" spans="1:14" x14ac:dyDescent="0.25">
      <c r="A137" s="6" t="s">
        <v>370</v>
      </c>
      <c r="B137" t="s">
        <v>37</v>
      </c>
      <c r="C137" t="s">
        <v>371</v>
      </c>
      <c r="D137" t="s">
        <v>16</v>
      </c>
      <c r="F137">
        <v>1245</v>
      </c>
      <c r="I137">
        <f t="shared" si="2"/>
        <v>1245</v>
      </c>
      <c r="J137">
        <v>1245</v>
      </c>
      <c r="K137">
        <v>1260</v>
      </c>
      <c r="L137">
        <v>180</v>
      </c>
      <c r="M137">
        <v>1035</v>
      </c>
      <c r="N137">
        <v>-15</v>
      </c>
    </row>
    <row r="138" spans="1:14" x14ac:dyDescent="0.25">
      <c r="A138" s="6">
        <v>9881</v>
      </c>
      <c r="B138" t="s">
        <v>91</v>
      </c>
      <c r="C138" t="s">
        <v>569</v>
      </c>
      <c r="D138" t="s">
        <v>14</v>
      </c>
      <c r="F138">
        <v>720</v>
      </c>
      <c r="I138">
        <f t="shared" si="2"/>
        <v>720</v>
      </c>
      <c r="J138">
        <v>720</v>
      </c>
      <c r="K138">
        <v>660</v>
      </c>
      <c r="L138">
        <v>75</v>
      </c>
      <c r="M138">
        <v>570</v>
      </c>
      <c r="N138">
        <v>60</v>
      </c>
    </row>
    <row r="139" spans="1:14" x14ac:dyDescent="0.25">
      <c r="A139" s="6">
        <v>9881</v>
      </c>
      <c r="B139" t="s">
        <v>34</v>
      </c>
      <c r="C139" t="s">
        <v>570</v>
      </c>
      <c r="D139" t="s">
        <v>14</v>
      </c>
      <c r="F139">
        <v>510</v>
      </c>
      <c r="I139">
        <f t="shared" si="2"/>
        <v>510</v>
      </c>
      <c r="J139">
        <v>510</v>
      </c>
      <c r="K139">
        <v>450</v>
      </c>
      <c r="L139">
        <v>60</v>
      </c>
      <c r="M139">
        <v>390</v>
      </c>
      <c r="N139">
        <v>60</v>
      </c>
    </row>
    <row r="140" spans="1:14" x14ac:dyDescent="0.25">
      <c r="A140" s="6">
        <v>9881</v>
      </c>
      <c r="B140" t="s">
        <v>37</v>
      </c>
      <c r="C140" t="s">
        <v>571</v>
      </c>
      <c r="D140" t="s">
        <v>14</v>
      </c>
      <c r="F140">
        <v>405</v>
      </c>
      <c r="I140">
        <f t="shared" ref="I140:I159" si="3">+H140+G140+F140</f>
        <v>405</v>
      </c>
      <c r="J140">
        <v>405</v>
      </c>
      <c r="K140">
        <v>375</v>
      </c>
      <c r="L140">
        <v>60</v>
      </c>
      <c r="M140">
        <v>300</v>
      </c>
      <c r="N140">
        <v>30</v>
      </c>
    </row>
    <row r="141" spans="1:14" x14ac:dyDescent="0.25">
      <c r="A141" s="6">
        <v>9883</v>
      </c>
      <c r="B141" t="s">
        <v>17</v>
      </c>
      <c r="C141" t="s">
        <v>375</v>
      </c>
      <c r="D141" t="s">
        <v>14</v>
      </c>
      <c r="F141">
        <v>0</v>
      </c>
      <c r="H141">
        <v>510</v>
      </c>
      <c r="I141">
        <f t="shared" si="3"/>
        <v>510</v>
      </c>
      <c r="J141">
        <v>510</v>
      </c>
      <c r="K141">
        <v>405</v>
      </c>
      <c r="L141">
        <v>30</v>
      </c>
      <c r="M141">
        <v>0</v>
      </c>
      <c r="N141">
        <v>105</v>
      </c>
    </row>
    <row r="142" spans="1:14" x14ac:dyDescent="0.25">
      <c r="A142" s="6">
        <v>9883</v>
      </c>
      <c r="B142" t="s">
        <v>34</v>
      </c>
      <c r="C142" t="s">
        <v>376</v>
      </c>
      <c r="D142" t="s">
        <v>14</v>
      </c>
      <c r="F142">
        <v>0</v>
      </c>
      <c r="H142">
        <v>510</v>
      </c>
      <c r="I142">
        <f t="shared" si="3"/>
        <v>510</v>
      </c>
      <c r="J142">
        <v>510</v>
      </c>
      <c r="K142">
        <v>450</v>
      </c>
      <c r="L142">
        <v>45</v>
      </c>
      <c r="M142">
        <v>0</v>
      </c>
      <c r="N142">
        <v>60</v>
      </c>
    </row>
    <row r="143" spans="1:14" x14ac:dyDescent="0.25">
      <c r="A143" s="6">
        <v>9883</v>
      </c>
      <c r="B143" t="s">
        <v>48</v>
      </c>
      <c r="C143" t="s">
        <v>377</v>
      </c>
      <c r="D143" t="s">
        <v>14</v>
      </c>
      <c r="F143">
        <v>0</v>
      </c>
      <c r="H143">
        <v>510</v>
      </c>
      <c r="I143">
        <f t="shared" si="3"/>
        <v>510</v>
      </c>
      <c r="J143">
        <v>510</v>
      </c>
      <c r="K143">
        <v>360</v>
      </c>
      <c r="L143">
        <v>60</v>
      </c>
      <c r="M143">
        <v>0</v>
      </c>
      <c r="N143">
        <v>150</v>
      </c>
    </row>
    <row r="144" spans="1:14" x14ac:dyDescent="0.25">
      <c r="A144" s="6" t="s">
        <v>400</v>
      </c>
      <c r="B144" t="s">
        <v>12</v>
      </c>
      <c r="C144" t="s">
        <v>572</v>
      </c>
      <c r="D144" t="s">
        <v>14</v>
      </c>
      <c r="F144">
        <v>144</v>
      </c>
      <c r="I144">
        <f t="shared" si="3"/>
        <v>144</v>
      </c>
      <c r="J144">
        <v>144</v>
      </c>
      <c r="K144">
        <v>96</v>
      </c>
      <c r="L144">
        <v>24</v>
      </c>
      <c r="M144">
        <v>72</v>
      </c>
      <c r="N144">
        <v>48</v>
      </c>
    </row>
    <row r="145" spans="1:14" x14ac:dyDescent="0.25">
      <c r="A145" s="6" t="s">
        <v>400</v>
      </c>
      <c r="B145" t="s">
        <v>12</v>
      </c>
      <c r="C145" t="s">
        <v>573</v>
      </c>
      <c r="D145" t="s">
        <v>16</v>
      </c>
      <c r="F145">
        <v>264</v>
      </c>
      <c r="I145">
        <f t="shared" si="3"/>
        <v>264</v>
      </c>
      <c r="J145">
        <v>264</v>
      </c>
      <c r="K145">
        <v>156</v>
      </c>
      <c r="L145">
        <v>24</v>
      </c>
      <c r="M145">
        <v>132</v>
      </c>
      <c r="N145">
        <v>108</v>
      </c>
    </row>
    <row r="146" spans="1:14" x14ac:dyDescent="0.25">
      <c r="A146" s="6" t="s">
        <v>400</v>
      </c>
      <c r="B146" t="s">
        <v>52</v>
      </c>
      <c r="C146" t="s">
        <v>574</v>
      </c>
      <c r="D146" t="s">
        <v>14</v>
      </c>
      <c r="F146">
        <v>228</v>
      </c>
      <c r="I146">
        <f t="shared" si="3"/>
        <v>228</v>
      </c>
      <c r="J146">
        <v>228</v>
      </c>
      <c r="K146">
        <v>120</v>
      </c>
      <c r="L146">
        <v>24</v>
      </c>
      <c r="M146">
        <v>96</v>
      </c>
      <c r="N146">
        <v>108</v>
      </c>
    </row>
    <row r="147" spans="1:14" x14ac:dyDescent="0.25">
      <c r="A147" s="6" t="s">
        <v>400</v>
      </c>
      <c r="B147" t="s">
        <v>52</v>
      </c>
      <c r="C147" t="s">
        <v>401</v>
      </c>
      <c r="D147" t="s">
        <v>16</v>
      </c>
      <c r="F147">
        <v>372</v>
      </c>
      <c r="I147">
        <f t="shared" si="3"/>
        <v>372</v>
      </c>
      <c r="J147">
        <v>372</v>
      </c>
      <c r="K147">
        <v>240</v>
      </c>
      <c r="L147">
        <v>36</v>
      </c>
      <c r="M147">
        <v>204</v>
      </c>
      <c r="N147">
        <v>132</v>
      </c>
    </row>
    <row r="148" spans="1:14" x14ac:dyDescent="0.25">
      <c r="A148" s="6" t="s">
        <v>402</v>
      </c>
      <c r="B148" t="s">
        <v>12</v>
      </c>
      <c r="C148" t="s">
        <v>575</v>
      </c>
      <c r="D148" t="s">
        <v>224</v>
      </c>
      <c r="F148">
        <v>375</v>
      </c>
      <c r="I148">
        <f t="shared" si="3"/>
        <v>375</v>
      </c>
      <c r="J148">
        <v>375</v>
      </c>
      <c r="K148">
        <v>0</v>
      </c>
      <c r="L148">
        <v>0</v>
      </c>
      <c r="M148">
        <v>0</v>
      </c>
      <c r="N148">
        <v>375</v>
      </c>
    </row>
    <row r="149" spans="1:14" x14ac:dyDescent="0.25">
      <c r="A149" s="6" t="s">
        <v>402</v>
      </c>
      <c r="B149" t="s">
        <v>12</v>
      </c>
      <c r="C149" t="s">
        <v>576</v>
      </c>
      <c r="D149" t="s">
        <v>217</v>
      </c>
      <c r="F149">
        <v>228</v>
      </c>
      <c r="I149">
        <f t="shared" si="3"/>
        <v>228</v>
      </c>
      <c r="J149">
        <v>228</v>
      </c>
      <c r="K149">
        <v>0</v>
      </c>
      <c r="L149">
        <v>0</v>
      </c>
      <c r="M149">
        <v>0</v>
      </c>
      <c r="N149">
        <v>228</v>
      </c>
    </row>
    <row r="150" spans="1:14" x14ac:dyDescent="0.25">
      <c r="A150" s="6" t="s">
        <v>402</v>
      </c>
      <c r="B150" t="s">
        <v>17</v>
      </c>
      <c r="C150" t="s">
        <v>577</v>
      </c>
      <c r="D150" t="s">
        <v>224</v>
      </c>
      <c r="F150">
        <v>360</v>
      </c>
      <c r="I150">
        <f t="shared" si="3"/>
        <v>360</v>
      </c>
      <c r="J150">
        <v>360</v>
      </c>
      <c r="K150">
        <v>0</v>
      </c>
      <c r="L150">
        <v>0</v>
      </c>
      <c r="M150">
        <v>0</v>
      </c>
      <c r="N150">
        <v>360</v>
      </c>
    </row>
    <row r="151" spans="1:14" x14ac:dyDescent="0.25">
      <c r="A151" s="6" t="s">
        <v>402</v>
      </c>
      <c r="B151" t="s">
        <v>17</v>
      </c>
      <c r="C151" t="s">
        <v>578</v>
      </c>
      <c r="D151" t="s">
        <v>217</v>
      </c>
      <c r="F151">
        <v>240</v>
      </c>
      <c r="I151">
        <f t="shared" si="3"/>
        <v>240</v>
      </c>
      <c r="J151">
        <v>240</v>
      </c>
      <c r="K151">
        <v>0</v>
      </c>
      <c r="L151">
        <v>0</v>
      </c>
      <c r="M151">
        <v>0</v>
      </c>
      <c r="N151">
        <v>240</v>
      </c>
    </row>
    <row r="152" spans="1:14" x14ac:dyDescent="0.25">
      <c r="A152" s="6" t="s">
        <v>404</v>
      </c>
      <c r="B152" t="s">
        <v>12</v>
      </c>
      <c r="C152" t="s">
        <v>579</v>
      </c>
      <c r="D152" t="s">
        <v>224</v>
      </c>
      <c r="F152">
        <v>180</v>
      </c>
      <c r="I152">
        <f t="shared" si="3"/>
        <v>180</v>
      </c>
      <c r="J152">
        <v>180</v>
      </c>
      <c r="K152">
        <v>0</v>
      </c>
      <c r="L152">
        <v>0</v>
      </c>
      <c r="M152">
        <v>0</v>
      </c>
      <c r="N152">
        <v>180</v>
      </c>
    </row>
    <row r="153" spans="1:14" x14ac:dyDescent="0.25">
      <c r="A153" s="6" t="s">
        <v>404</v>
      </c>
      <c r="B153" t="s">
        <v>12</v>
      </c>
      <c r="C153" t="s">
        <v>580</v>
      </c>
      <c r="D153" t="s">
        <v>217</v>
      </c>
      <c r="F153">
        <v>120</v>
      </c>
      <c r="I153">
        <f t="shared" si="3"/>
        <v>120</v>
      </c>
      <c r="J153">
        <v>120</v>
      </c>
      <c r="K153">
        <v>0</v>
      </c>
      <c r="L153">
        <v>0</v>
      </c>
      <c r="M153">
        <v>0</v>
      </c>
      <c r="N153">
        <v>120</v>
      </c>
    </row>
    <row r="154" spans="1:14" x14ac:dyDescent="0.25">
      <c r="A154" s="6" t="s">
        <v>404</v>
      </c>
      <c r="B154" t="s">
        <v>17</v>
      </c>
      <c r="C154" t="s">
        <v>581</v>
      </c>
      <c r="D154" t="s">
        <v>224</v>
      </c>
      <c r="F154">
        <v>210</v>
      </c>
      <c r="I154">
        <f t="shared" si="3"/>
        <v>210</v>
      </c>
      <c r="J154">
        <v>210</v>
      </c>
      <c r="K154">
        <v>0</v>
      </c>
      <c r="L154">
        <v>0</v>
      </c>
      <c r="M154">
        <v>0</v>
      </c>
      <c r="N154">
        <v>210</v>
      </c>
    </row>
    <row r="155" spans="1:14" x14ac:dyDescent="0.25">
      <c r="A155" s="6" t="s">
        <v>404</v>
      </c>
      <c r="B155" t="s">
        <v>17</v>
      </c>
      <c r="C155" t="s">
        <v>582</v>
      </c>
      <c r="D155" t="s">
        <v>217</v>
      </c>
      <c r="F155">
        <v>312</v>
      </c>
      <c r="I155">
        <f t="shared" si="3"/>
        <v>312</v>
      </c>
      <c r="J155">
        <v>312</v>
      </c>
      <c r="K155">
        <v>0</v>
      </c>
      <c r="L155">
        <v>0</v>
      </c>
      <c r="M155">
        <v>0</v>
      </c>
      <c r="N155">
        <v>312</v>
      </c>
    </row>
    <row r="156" spans="1:14" x14ac:dyDescent="0.25">
      <c r="A156" s="6" t="s">
        <v>583</v>
      </c>
      <c r="B156" t="s">
        <v>584</v>
      </c>
      <c r="C156" t="s">
        <v>585</v>
      </c>
      <c r="D156" t="s">
        <v>16</v>
      </c>
      <c r="F156">
        <v>435</v>
      </c>
      <c r="I156">
        <f t="shared" si="3"/>
        <v>435</v>
      </c>
      <c r="J156">
        <v>435</v>
      </c>
      <c r="K156">
        <v>195</v>
      </c>
      <c r="L156">
        <v>60</v>
      </c>
      <c r="M156">
        <v>135</v>
      </c>
      <c r="N156">
        <v>240</v>
      </c>
    </row>
    <row r="157" spans="1:14" x14ac:dyDescent="0.25">
      <c r="A157" s="6" t="s">
        <v>583</v>
      </c>
      <c r="B157" t="s">
        <v>584</v>
      </c>
      <c r="C157" t="s">
        <v>586</v>
      </c>
      <c r="D157" t="s">
        <v>224</v>
      </c>
      <c r="F157">
        <v>372</v>
      </c>
      <c r="I157">
        <f t="shared" si="3"/>
        <v>372</v>
      </c>
      <c r="J157">
        <v>372</v>
      </c>
      <c r="K157">
        <v>120</v>
      </c>
      <c r="L157">
        <v>36</v>
      </c>
      <c r="M157">
        <v>84</v>
      </c>
      <c r="N157">
        <v>252</v>
      </c>
    </row>
    <row r="158" spans="1:14" x14ac:dyDescent="0.25">
      <c r="A158" s="6" t="s">
        <v>587</v>
      </c>
      <c r="B158" t="s">
        <v>584</v>
      </c>
      <c r="C158" t="s">
        <v>588</v>
      </c>
      <c r="D158" t="s">
        <v>16</v>
      </c>
      <c r="F158">
        <v>375</v>
      </c>
      <c r="I158">
        <f t="shared" si="3"/>
        <v>375</v>
      </c>
      <c r="J158">
        <v>375</v>
      </c>
      <c r="K158">
        <v>105</v>
      </c>
      <c r="L158">
        <v>30</v>
      </c>
      <c r="M158">
        <v>60</v>
      </c>
      <c r="N158">
        <v>270</v>
      </c>
    </row>
    <row r="159" spans="1:14" x14ac:dyDescent="0.25">
      <c r="A159" s="6" t="s">
        <v>587</v>
      </c>
      <c r="B159" t="s">
        <v>584</v>
      </c>
      <c r="C159" t="s">
        <v>589</v>
      </c>
      <c r="D159" t="s">
        <v>224</v>
      </c>
      <c r="F159">
        <v>432</v>
      </c>
      <c r="I159">
        <f t="shared" si="3"/>
        <v>432</v>
      </c>
      <c r="J159">
        <v>432</v>
      </c>
      <c r="K159">
        <v>108</v>
      </c>
      <c r="L159">
        <v>48</v>
      </c>
      <c r="M159">
        <v>60</v>
      </c>
      <c r="N159">
        <v>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27072-A170-4D12-B9A7-165607435E9B}">
  <dimension ref="A1:N165"/>
  <sheetViews>
    <sheetView workbookViewId="0">
      <selection activeCell="O16" sqref="O16"/>
    </sheetView>
  </sheetViews>
  <sheetFormatPr baseColWidth="10" defaultRowHeight="15" x14ac:dyDescent="0.25"/>
  <sheetData>
    <row r="1" spans="1:14" x14ac:dyDescent="0.25">
      <c r="A1" t="s">
        <v>7</v>
      </c>
      <c r="B1" t="s">
        <v>8</v>
      </c>
      <c r="C1" t="s">
        <v>9</v>
      </c>
      <c r="D1" t="s">
        <v>10</v>
      </c>
      <c r="E1" t="s">
        <v>0</v>
      </c>
      <c r="F1" t="s">
        <v>1</v>
      </c>
      <c r="G1" t="s">
        <v>2</v>
      </c>
      <c r="H1" t="s">
        <v>2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198</v>
      </c>
    </row>
    <row r="2" spans="1:14" x14ac:dyDescent="0.25">
      <c r="A2">
        <v>2018</v>
      </c>
      <c r="B2" t="s">
        <v>12</v>
      </c>
      <c r="C2" t="s">
        <v>13</v>
      </c>
      <c r="D2" t="s">
        <v>14</v>
      </c>
      <c r="F2">
        <v>264</v>
      </c>
      <c r="J2">
        <v>264</v>
      </c>
      <c r="K2">
        <v>228</v>
      </c>
      <c r="L2">
        <v>108</v>
      </c>
      <c r="M2">
        <v>36</v>
      </c>
      <c r="N2">
        <v>36</v>
      </c>
    </row>
    <row r="3" spans="1:14" x14ac:dyDescent="0.25">
      <c r="A3">
        <v>2018</v>
      </c>
      <c r="B3" t="s">
        <v>12</v>
      </c>
      <c r="C3" t="s">
        <v>15</v>
      </c>
      <c r="D3" t="s">
        <v>16</v>
      </c>
      <c r="F3">
        <v>330</v>
      </c>
      <c r="J3">
        <v>330</v>
      </c>
      <c r="K3">
        <v>360</v>
      </c>
      <c r="L3">
        <v>210</v>
      </c>
      <c r="M3">
        <v>-30</v>
      </c>
      <c r="N3">
        <v>0</v>
      </c>
    </row>
    <row r="4" spans="1:14" x14ac:dyDescent="0.25">
      <c r="A4">
        <v>2018</v>
      </c>
      <c r="B4" t="s">
        <v>17</v>
      </c>
      <c r="C4" t="s">
        <v>18</v>
      </c>
      <c r="D4" t="s">
        <v>14</v>
      </c>
      <c r="F4">
        <v>156</v>
      </c>
      <c r="J4">
        <v>156</v>
      </c>
      <c r="K4">
        <v>132</v>
      </c>
      <c r="L4">
        <v>72</v>
      </c>
      <c r="M4">
        <v>24</v>
      </c>
      <c r="N4">
        <v>24</v>
      </c>
    </row>
    <row r="5" spans="1:14" x14ac:dyDescent="0.25">
      <c r="A5">
        <v>2018</v>
      </c>
      <c r="B5" t="s">
        <v>17</v>
      </c>
      <c r="C5" t="s">
        <v>19</v>
      </c>
      <c r="D5" t="s">
        <v>16</v>
      </c>
      <c r="F5">
        <v>165</v>
      </c>
      <c r="J5">
        <v>165</v>
      </c>
      <c r="K5">
        <v>165</v>
      </c>
      <c r="L5">
        <v>90</v>
      </c>
      <c r="M5">
        <v>0</v>
      </c>
      <c r="N5">
        <v>0</v>
      </c>
    </row>
    <row r="6" spans="1:14" x14ac:dyDescent="0.25">
      <c r="A6">
        <v>2034</v>
      </c>
      <c r="B6" t="s">
        <v>17</v>
      </c>
      <c r="C6" t="s">
        <v>20</v>
      </c>
      <c r="D6" t="s">
        <v>14</v>
      </c>
      <c r="F6">
        <v>132</v>
      </c>
      <c r="J6">
        <v>132</v>
      </c>
      <c r="K6">
        <v>72</v>
      </c>
      <c r="L6">
        <v>12</v>
      </c>
      <c r="M6">
        <v>60</v>
      </c>
      <c r="N6">
        <v>60</v>
      </c>
    </row>
    <row r="7" spans="1:14" x14ac:dyDescent="0.25">
      <c r="A7">
        <v>2034</v>
      </c>
      <c r="B7" t="s">
        <v>17</v>
      </c>
      <c r="C7" t="s">
        <v>21</v>
      </c>
      <c r="D7" t="s">
        <v>16</v>
      </c>
      <c r="F7">
        <v>195</v>
      </c>
      <c r="J7">
        <v>195</v>
      </c>
      <c r="K7">
        <v>135</v>
      </c>
      <c r="L7">
        <v>45</v>
      </c>
      <c r="M7">
        <v>60</v>
      </c>
      <c r="N7">
        <v>60</v>
      </c>
    </row>
    <row r="8" spans="1:14" x14ac:dyDescent="0.25">
      <c r="A8">
        <v>2034</v>
      </c>
      <c r="B8" t="s">
        <v>22</v>
      </c>
      <c r="C8" t="s">
        <v>23</v>
      </c>
      <c r="D8" t="s">
        <v>14</v>
      </c>
      <c r="F8">
        <v>240</v>
      </c>
      <c r="J8">
        <v>240</v>
      </c>
      <c r="K8">
        <v>132</v>
      </c>
      <c r="L8">
        <v>72</v>
      </c>
      <c r="M8">
        <v>108</v>
      </c>
      <c r="N8">
        <v>108</v>
      </c>
    </row>
    <row r="9" spans="1:14" x14ac:dyDescent="0.25">
      <c r="A9">
        <v>2034</v>
      </c>
      <c r="B9" t="s">
        <v>22</v>
      </c>
      <c r="C9" t="s">
        <v>24</v>
      </c>
      <c r="D9" t="s">
        <v>16</v>
      </c>
      <c r="F9">
        <v>345</v>
      </c>
      <c r="J9">
        <v>345</v>
      </c>
      <c r="K9">
        <v>180</v>
      </c>
      <c r="L9">
        <v>105</v>
      </c>
      <c r="M9">
        <v>165</v>
      </c>
      <c r="N9">
        <v>165</v>
      </c>
    </row>
    <row r="10" spans="1:14" x14ac:dyDescent="0.25">
      <c r="A10">
        <v>2508</v>
      </c>
      <c r="B10" t="s">
        <v>12</v>
      </c>
      <c r="C10" t="s">
        <v>25</v>
      </c>
      <c r="D10" t="s">
        <v>14</v>
      </c>
      <c r="F10">
        <v>450</v>
      </c>
      <c r="J10">
        <v>450</v>
      </c>
      <c r="K10">
        <v>165</v>
      </c>
      <c r="L10">
        <v>90</v>
      </c>
      <c r="M10">
        <v>285</v>
      </c>
      <c r="N10">
        <v>285</v>
      </c>
    </row>
    <row r="11" spans="1:14" x14ac:dyDescent="0.25">
      <c r="A11">
        <v>2508</v>
      </c>
      <c r="B11" t="s">
        <v>26</v>
      </c>
      <c r="C11" t="s">
        <v>27</v>
      </c>
      <c r="D11" t="s">
        <v>14</v>
      </c>
      <c r="F11">
        <v>450</v>
      </c>
      <c r="J11">
        <v>450</v>
      </c>
      <c r="K11">
        <v>270</v>
      </c>
      <c r="L11">
        <v>195</v>
      </c>
      <c r="M11">
        <v>180</v>
      </c>
      <c r="N11">
        <v>180</v>
      </c>
    </row>
    <row r="12" spans="1:14" x14ac:dyDescent="0.25">
      <c r="A12">
        <v>2594</v>
      </c>
      <c r="B12" t="s">
        <v>12</v>
      </c>
      <c r="C12" t="s">
        <v>28</v>
      </c>
      <c r="D12" t="s">
        <v>14</v>
      </c>
      <c r="F12">
        <v>204</v>
      </c>
      <c r="J12">
        <v>204</v>
      </c>
      <c r="K12">
        <v>192</v>
      </c>
      <c r="L12">
        <v>120</v>
      </c>
      <c r="M12">
        <v>12</v>
      </c>
      <c r="N12">
        <v>36</v>
      </c>
    </row>
    <row r="13" spans="1:14" x14ac:dyDescent="0.25">
      <c r="A13">
        <v>2594</v>
      </c>
      <c r="B13" t="s">
        <v>12</v>
      </c>
      <c r="C13" t="s">
        <v>29</v>
      </c>
      <c r="D13" t="s">
        <v>16</v>
      </c>
      <c r="F13">
        <v>210</v>
      </c>
      <c r="J13">
        <v>210</v>
      </c>
      <c r="K13">
        <v>255</v>
      </c>
      <c r="L13">
        <v>135</v>
      </c>
      <c r="M13">
        <v>-45</v>
      </c>
      <c r="N13">
        <v>0</v>
      </c>
    </row>
    <row r="14" spans="1:14" x14ac:dyDescent="0.25">
      <c r="A14">
        <v>2594</v>
      </c>
      <c r="B14" t="s">
        <v>26</v>
      </c>
      <c r="C14" t="s">
        <v>30</v>
      </c>
      <c r="D14" t="s">
        <v>14</v>
      </c>
      <c r="F14">
        <v>300</v>
      </c>
      <c r="J14">
        <v>300</v>
      </c>
      <c r="K14">
        <v>264</v>
      </c>
      <c r="L14">
        <v>180</v>
      </c>
      <c r="M14">
        <v>36</v>
      </c>
      <c r="N14">
        <v>60</v>
      </c>
    </row>
    <row r="15" spans="1:14" x14ac:dyDescent="0.25">
      <c r="A15">
        <v>2594</v>
      </c>
      <c r="B15" t="s">
        <v>26</v>
      </c>
      <c r="C15" t="s">
        <v>31</v>
      </c>
      <c r="D15" t="s">
        <v>16</v>
      </c>
      <c r="F15">
        <v>300</v>
      </c>
      <c r="J15">
        <v>300</v>
      </c>
      <c r="K15">
        <v>300</v>
      </c>
      <c r="L15">
        <v>240</v>
      </c>
      <c r="M15">
        <v>0</v>
      </c>
      <c r="N15">
        <v>0</v>
      </c>
    </row>
    <row r="16" spans="1:14" x14ac:dyDescent="0.25">
      <c r="A16">
        <v>2595</v>
      </c>
      <c r="B16" t="s">
        <v>12</v>
      </c>
      <c r="C16" t="s">
        <v>32</v>
      </c>
      <c r="D16" t="s">
        <v>14</v>
      </c>
      <c r="F16">
        <v>405</v>
      </c>
      <c r="J16">
        <v>405</v>
      </c>
      <c r="K16">
        <v>345</v>
      </c>
      <c r="L16">
        <v>255</v>
      </c>
      <c r="M16">
        <v>60</v>
      </c>
      <c r="N16">
        <v>60</v>
      </c>
    </row>
    <row r="17" spans="1:14" x14ac:dyDescent="0.25">
      <c r="A17">
        <v>2595</v>
      </c>
      <c r="B17" t="s">
        <v>26</v>
      </c>
      <c r="C17" t="s">
        <v>33</v>
      </c>
      <c r="D17" t="s">
        <v>14</v>
      </c>
      <c r="F17">
        <v>720</v>
      </c>
      <c r="J17">
        <v>720</v>
      </c>
      <c r="K17">
        <v>510</v>
      </c>
      <c r="L17">
        <v>360</v>
      </c>
      <c r="M17">
        <v>210</v>
      </c>
      <c r="N17">
        <v>210</v>
      </c>
    </row>
    <row r="18" spans="1:14" x14ac:dyDescent="0.25">
      <c r="A18">
        <v>2610</v>
      </c>
      <c r="B18" t="s">
        <v>34</v>
      </c>
      <c r="C18" t="s">
        <v>35</v>
      </c>
      <c r="D18" t="s">
        <v>14</v>
      </c>
      <c r="F18">
        <v>240</v>
      </c>
      <c r="J18">
        <v>240</v>
      </c>
      <c r="K18">
        <v>255</v>
      </c>
      <c r="L18">
        <v>135</v>
      </c>
      <c r="M18">
        <v>-15</v>
      </c>
      <c r="N18">
        <v>0</v>
      </c>
    </row>
    <row r="19" spans="1:14" x14ac:dyDescent="0.25">
      <c r="A19">
        <v>2610</v>
      </c>
      <c r="B19" t="s">
        <v>34</v>
      </c>
      <c r="C19" t="s">
        <v>36</v>
      </c>
      <c r="D19" t="s">
        <v>16</v>
      </c>
      <c r="F19">
        <v>270</v>
      </c>
      <c r="J19">
        <v>270</v>
      </c>
      <c r="K19">
        <v>225</v>
      </c>
      <c r="L19">
        <v>105</v>
      </c>
      <c r="M19">
        <v>45</v>
      </c>
      <c r="N19">
        <v>45</v>
      </c>
    </row>
    <row r="20" spans="1:14" x14ac:dyDescent="0.25">
      <c r="A20">
        <v>2610</v>
      </c>
      <c r="B20" t="s">
        <v>37</v>
      </c>
      <c r="C20" t="s">
        <v>38</v>
      </c>
      <c r="D20" t="s">
        <v>14</v>
      </c>
      <c r="F20">
        <v>450</v>
      </c>
      <c r="J20">
        <v>450</v>
      </c>
      <c r="K20">
        <v>390</v>
      </c>
      <c r="L20">
        <v>270</v>
      </c>
      <c r="M20">
        <v>60</v>
      </c>
      <c r="N20">
        <v>60</v>
      </c>
    </row>
    <row r="21" spans="1:14" x14ac:dyDescent="0.25">
      <c r="A21">
        <v>2610</v>
      </c>
      <c r="B21" t="s">
        <v>37</v>
      </c>
      <c r="C21" t="s">
        <v>39</v>
      </c>
      <c r="D21" t="s">
        <v>16</v>
      </c>
      <c r="F21">
        <v>450</v>
      </c>
      <c r="J21">
        <v>450</v>
      </c>
      <c r="K21">
        <v>420</v>
      </c>
      <c r="L21">
        <v>285</v>
      </c>
      <c r="M21">
        <v>30</v>
      </c>
      <c r="N21">
        <v>30</v>
      </c>
    </row>
    <row r="22" spans="1:14" x14ac:dyDescent="0.25">
      <c r="A22">
        <v>2611</v>
      </c>
      <c r="B22" t="s">
        <v>34</v>
      </c>
      <c r="C22" t="s">
        <v>40</v>
      </c>
      <c r="D22" t="s">
        <v>14</v>
      </c>
      <c r="F22">
        <v>1005</v>
      </c>
      <c r="J22">
        <v>1005</v>
      </c>
      <c r="K22">
        <v>330</v>
      </c>
      <c r="L22">
        <v>240</v>
      </c>
      <c r="M22">
        <v>675</v>
      </c>
      <c r="N22">
        <v>675</v>
      </c>
    </row>
    <row r="23" spans="1:14" x14ac:dyDescent="0.25">
      <c r="A23">
        <v>2916</v>
      </c>
      <c r="B23" t="s">
        <v>34</v>
      </c>
      <c r="C23" t="s">
        <v>41</v>
      </c>
      <c r="D23" t="s">
        <v>14</v>
      </c>
      <c r="F23">
        <v>300</v>
      </c>
      <c r="J23">
        <v>300</v>
      </c>
      <c r="K23">
        <v>312</v>
      </c>
      <c r="L23">
        <v>252</v>
      </c>
      <c r="M23">
        <v>-12</v>
      </c>
      <c r="N23">
        <v>0</v>
      </c>
    </row>
    <row r="24" spans="1:14" x14ac:dyDescent="0.25">
      <c r="A24">
        <v>2916</v>
      </c>
      <c r="B24" t="s">
        <v>34</v>
      </c>
      <c r="C24" t="s">
        <v>42</v>
      </c>
      <c r="D24" t="s">
        <v>16</v>
      </c>
      <c r="F24">
        <v>300</v>
      </c>
      <c r="J24">
        <v>300</v>
      </c>
      <c r="K24">
        <v>300</v>
      </c>
      <c r="L24">
        <v>252</v>
      </c>
      <c r="M24">
        <v>0</v>
      </c>
      <c r="N24">
        <v>0</v>
      </c>
    </row>
    <row r="25" spans="1:14" x14ac:dyDescent="0.25">
      <c r="A25">
        <v>2916</v>
      </c>
      <c r="B25" t="s">
        <v>43</v>
      </c>
      <c r="C25" t="s">
        <v>44</v>
      </c>
      <c r="D25" t="s">
        <v>14</v>
      </c>
      <c r="F25">
        <v>300</v>
      </c>
      <c r="J25">
        <v>300</v>
      </c>
      <c r="K25">
        <v>288</v>
      </c>
      <c r="L25">
        <v>252</v>
      </c>
      <c r="M25">
        <v>12</v>
      </c>
      <c r="N25">
        <v>12</v>
      </c>
    </row>
    <row r="26" spans="1:14" x14ac:dyDescent="0.25">
      <c r="A26">
        <v>2916</v>
      </c>
      <c r="B26" t="s">
        <v>43</v>
      </c>
      <c r="C26" t="s">
        <v>45</v>
      </c>
      <c r="D26" t="s">
        <v>16</v>
      </c>
      <c r="F26">
        <v>300</v>
      </c>
      <c r="J26">
        <v>300</v>
      </c>
      <c r="K26">
        <v>240</v>
      </c>
      <c r="L26">
        <v>204</v>
      </c>
      <c r="M26">
        <v>60</v>
      </c>
      <c r="N26">
        <v>60</v>
      </c>
    </row>
    <row r="27" spans="1:14" x14ac:dyDescent="0.25">
      <c r="A27">
        <v>2917</v>
      </c>
      <c r="B27" t="s">
        <v>12</v>
      </c>
      <c r="C27" t="s">
        <v>46</v>
      </c>
      <c r="D27" t="s">
        <v>14</v>
      </c>
      <c r="F27">
        <v>360</v>
      </c>
      <c r="J27">
        <v>360</v>
      </c>
      <c r="K27">
        <v>180</v>
      </c>
      <c r="L27">
        <v>105</v>
      </c>
      <c r="M27">
        <v>180</v>
      </c>
      <c r="N27">
        <v>165</v>
      </c>
    </row>
    <row r="28" spans="1:14" x14ac:dyDescent="0.25">
      <c r="A28">
        <v>2917</v>
      </c>
      <c r="B28" t="s">
        <v>17</v>
      </c>
      <c r="C28" t="s">
        <v>47</v>
      </c>
      <c r="D28" t="s">
        <v>14</v>
      </c>
      <c r="F28">
        <v>360</v>
      </c>
      <c r="J28">
        <v>360</v>
      </c>
      <c r="K28">
        <v>210</v>
      </c>
      <c r="L28">
        <v>120</v>
      </c>
      <c r="M28">
        <v>150</v>
      </c>
      <c r="N28">
        <v>153</v>
      </c>
    </row>
    <row r="29" spans="1:14" x14ac:dyDescent="0.25">
      <c r="A29">
        <v>2917</v>
      </c>
      <c r="B29" t="s">
        <v>48</v>
      </c>
      <c r="C29" t="s">
        <v>49</v>
      </c>
      <c r="D29" t="s">
        <v>14</v>
      </c>
      <c r="F29">
        <v>600</v>
      </c>
      <c r="J29">
        <v>600</v>
      </c>
      <c r="K29">
        <v>345</v>
      </c>
      <c r="L29">
        <v>240</v>
      </c>
      <c r="M29">
        <v>255</v>
      </c>
      <c r="N29">
        <v>240</v>
      </c>
    </row>
    <row r="30" spans="1:14" x14ac:dyDescent="0.25">
      <c r="A30">
        <v>2922</v>
      </c>
      <c r="B30" t="s">
        <v>17</v>
      </c>
      <c r="C30" t="s">
        <v>50</v>
      </c>
      <c r="D30" t="s">
        <v>14</v>
      </c>
      <c r="F30">
        <v>300</v>
      </c>
      <c r="J30">
        <v>300</v>
      </c>
      <c r="K30">
        <v>165</v>
      </c>
      <c r="L30">
        <v>75</v>
      </c>
      <c r="M30">
        <v>135</v>
      </c>
      <c r="N30">
        <v>120</v>
      </c>
    </row>
    <row r="31" spans="1:14" x14ac:dyDescent="0.25">
      <c r="A31">
        <v>2922</v>
      </c>
      <c r="B31" t="s">
        <v>34</v>
      </c>
      <c r="C31" t="s">
        <v>51</v>
      </c>
      <c r="D31" t="s">
        <v>14</v>
      </c>
      <c r="F31">
        <v>600</v>
      </c>
      <c r="J31">
        <v>600</v>
      </c>
      <c r="K31">
        <v>270</v>
      </c>
      <c r="L31">
        <v>165</v>
      </c>
      <c r="M31">
        <v>330</v>
      </c>
      <c r="N31">
        <v>330</v>
      </c>
    </row>
    <row r="32" spans="1:14" x14ac:dyDescent="0.25">
      <c r="A32">
        <v>2922</v>
      </c>
      <c r="B32" t="s">
        <v>52</v>
      </c>
      <c r="C32" t="s">
        <v>53</v>
      </c>
      <c r="D32" t="s">
        <v>14</v>
      </c>
      <c r="F32">
        <v>360</v>
      </c>
      <c r="J32">
        <v>360</v>
      </c>
      <c r="K32">
        <v>210</v>
      </c>
      <c r="L32">
        <v>120</v>
      </c>
      <c r="M32">
        <v>150</v>
      </c>
      <c r="N32">
        <v>150</v>
      </c>
    </row>
    <row r="33" spans="1:14" x14ac:dyDescent="0.25">
      <c r="A33">
        <v>2939</v>
      </c>
      <c r="B33" t="s">
        <v>17</v>
      </c>
      <c r="C33" t="s">
        <v>54</v>
      </c>
      <c r="D33" t="s">
        <v>14</v>
      </c>
      <c r="F33">
        <v>315</v>
      </c>
      <c r="J33">
        <v>315</v>
      </c>
      <c r="K33">
        <v>315</v>
      </c>
      <c r="L33">
        <v>225</v>
      </c>
      <c r="M33">
        <v>0</v>
      </c>
      <c r="N33">
        <v>0</v>
      </c>
    </row>
    <row r="34" spans="1:14" x14ac:dyDescent="0.25">
      <c r="A34">
        <v>2939</v>
      </c>
      <c r="B34" t="s">
        <v>34</v>
      </c>
      <c r="C34" t="s">
        <v>55</v>
      </c>
      <c r="D34" t="s">
        <v>14</v>
      </c>
      <c r="F34">
        <v>510</v>
      </c>
      <c r="J34">
        <v>510</v>
      </c>
      <c r="K34">
        <v>495</v>
      </c>
      <c r="L34">
        <v>375</v>
      </c>
      <c r="M34">
        <v>15</v>
      </c>
      <c r="N34">
        <v>15</v>
      </c>
    </row>
    <row r="35" spans="1:14" x14ac:dyDescent="0.25">
      <c r="A35">
        <v>3018</v>
      </c>
      <c r="B35" t="s">
        <v>17</v>
      </c>
      <c r="C35" t="s">
        <v>56</v>
      </c>
      <c r="D35" t="s">
        <v>14</v>
      </c>
      <c r="F35">
        <v>300</v>
      </c>
      <c r="J35">
        <v>300</v>
      </c>
      <c r="K35">
        <v>168</v>
      </c>
      <c r="L35">
        <v>84</v>
      </c>
      <c r="M35">
        <v>132</v>
      </c>
      <c r="N35">
        <v>132</v>
      </c>
    </row>
    <row r="36" spans="1:14" x14ac:dyDescent="0.25">
      <c r="A36">
        <v>3018</v>
      </c>
      <c r="B36" t="s">
        <v>57</v>
      </c>
      <c r="C36" t="s">
        <v>58</v>
      </c>
      <c r="D36" t="s">
        <v>14</v>
      </c>
      <c r="F36">
        <v>336</v>
      </c>
      <c r="J36">
        <v>336</v>
      </c>
      <c r="K36">
        <v>252</v>
      </c>
      <c r="L36">
        <v>168</v>
      </c>
      <c r="M36">
        <v>84</v>
      </c>
      <c r="N36">
        <v>84</v>
      </c>
    </row>
    <row r="37" spans="1:14" x14ac:dyDescent="0.25">
      <c r="A37">
        <v>3025</v>
      </c>
      <c r="B37" t="s">
        <v>17</v>
      </c>
      <c r="C37" t="s">
        <v>59</v>
      </c>
      <c r="D37" t="s">
        <v>14</v>
      </c>
      <c r="F37">
        <v>480</v>
      </c>
      <c r="J37">
        <v>480</v>
      </c>
      <c r="K37">
        <v>348</v>
      </c>
      <c r="L37">
        <v>264</v>
      </c>
      <c r="M37">
        <v>132</v>
      </c>
      <c r="N37">
        <v>132</v>
      </c>
    </row>
    <row r="38" spans="1:14" x14ac:dyDescent="0.25">
      <c r="A38">
        <v>3025</v>
      </c>
      <c r="B38" t="s">
        <v>60</v>
      </c>
      <c r="C38" t="s">
        <v>61</v>
      </c>
      <c r="D38" t="s">
        <v>14</v>
      </c>
      <c r="F38">
        <v>336</v>
      </c>
      <c r="J38">
        <v>336</v>
      </c>
      <c r="K38">
        <v>240</v>
      </c>
      <c r="L38">
        <v>132</v>
      </c>
      <c r="M38">
        <v>96</v>
      </c>
      <c r="N38">
        <v>96</v>
      </c>
    </row>
    <row r="39" spans="1:14" x14ac:dyDescent="0.25">
      <c r="A39">
        <v>3025</v>
      </c>
      <c r="B39" t="s">
        <v>62</v>
      </c>
      <c r="C39" t="s">
        <v>63</v>
      </c>
      <c r="D39" t="s">
        <v>14</v>
      </c>
      <c r="F39">
        <v>144</v>
      </c>
      <c r="J39">
        <v>144</v>
      </c>
      <c r="K39">
        <v>84</v>
      </c>
      <c r="L39">
        <v>36</v>
      </c>
      <c r="M39">
        <v>60</v>
      </c>
      <c r="N39">
        <v>60</v>
      </c>
    </row>
    <row r="40" spans="1:14" x14ac:dyDescent="0.25">
      <c r="A40">
        <v>3040</v>
      </c>
      <c r="B40" t="s">
        <v>17</v>
      </c>
      <c r="C40" t="s">
        <v>64</v>
      </c>
      <c r="D40" t="s">
        <v>14</v>
      </c>
      <c r="F40">
        <v>204</v>
      </c>
      <c r="J40">
        <v>204</v>
      </c>
      <c r="K40">
        <v>132</v>
      </c>
      <c r="L40">
        <v>96</v>
      </c>
      <c r="M40">
        <v>72</v>
      </c>
      <c r="N40">
        <v>72</v>
      </c>
    </row>
    <row r="41" spans="1:14" x14ac:dyDescent="0.25">
      <c r="A41">
        <v>3040</v>
      </c>
      <c r="B41" t="s">
        <v>22</v>
      </c>
      <c r="C41" t="s">
        <v>65</v>
      </c>
      <c r="D41" t="s">
        <v>14</v>
      </c>
      <c r="F41">
        <v>180</v>
      </c>
      <c r="J41">
        <v>180</v>
      </c>
      <c r="K41">
        <v>168</v>
      </c>
      <c r="L41">
        <v>108</v>
      </c>
      <c r="M41">
        <v>12</v>
      </c>
      <c r="N41">
        <v>12</v>
      </c>
    </row>
    <row r="42" spans="1:14" x14ac:dyDescent="0.25">
      <c r="A42">
        <v>3040</v>
      </c>
      <c r="B42" t="s">
        <v>57</v>
      </c>
      <c r="C42" t="s">
        <v>66</v>
      </c>
      <c r="D42" t="s">
        <v>14</v>
      </c>
      <c r="F42">
        <v>120</v>
      </c>
      <c r="J42">
        <v>120</v>
      </c>
      <c r="K42">
        <v>108</v>
      </c>
      <c r="L42">
        <v>72</v>
      </c>
      <c r="M42">
        <v>12</v>
      </c>
      <c r="N42">
        <v>12</v>
      </c>
    </row>
    <row r="43" spans="1:14" x14ac:dyDescent="0.25">
      <c r="A43">
        <v>3044</v>
      </c>
      <c r="B43" t="s">
        <v>12</v>
      </c>
      <c r="C43" t="s">
        <v>67</v>
      </c>
      <c r="D43" t="s">
        <v>14</v>
      </c>
      <c r="F43">
        <v>192</v>
      </c>
      <c r="J43">
        <v>192</v>
      </c>
      <c r="K43">
        <v>196</v>
      </c>
      <c r="L43">
        <v>124</v>
      </c>
      <c r="M43">
        <v>-4</v>
      </c>
      <c r="N43">
        <v>0</v>
      </c>
    </row>
    <row r="44" spans="1:14" x14ac:dyDescent="0.25">
      <c r="A44">
        <v>3044</v>
      </c>
      <c r="B44" t="s">
        <v>17</v>
      </c>
      <c r="C44" t="s">
        <v>68</v>
      </c>
      <c r="D44" t="s">
        <v>14</v>
      </c>
      <c r="F44">
        <v>600</v>
      </c>
      <c r="J44">
        <v>600</v>
      </c>
      <c r="K44">
        <v>450</v>
      </c>
      <c r="L44">
        <v>354</v>
      </c>
      <c r="M44">
        <v>150</v>
      </c>
      <c r="N44">
        <v>162</v>
      </c>
    </row>
    <row r="45" spans="1:14" x14ac:dyDescent="0.25">
      <c r="A45">
        <v>3044</v>
      </c>
      <c r="B45" t="s">
        <v>26</v>
      </c>
      <c r="C45" t="s">
        <v>69</v>
      </c>
      <c r="D45" t="s">
        <v>14</v>
      </c>
      <c r="F45">
        <v>312</v>
      </c>
      <c r="J45">
        <v>312</v>
      </c>
      <c r="K45">
        <v>228</v>
      </c>
      <c r="L45">
        <v>180</v>
      </c>
      <c r="M45">
        <v>84</v>
      </c>
      <c r="N45">
        <v>84</v>
      </c>
    </row>
    <row r="46" spans="1:14" x14ac:dyDescent="0.25">
      <c r="A46">
        <v>3044</v>
      </c>
      <c r="B46" t="s">
        <v>52</v>
      </c>
      <c r="C46" t="s">
        <v>70</v>
      </c>
      <c r="D46" t="s">
        <v>14</v>
      </c>
      <c r="F46">
        <v>72</v>
      </c>
      <c r="J46">
        <v>72</v>
      </c>
      <c r="K46">
        <v>72</v>
      </c>
      <c r="L46">
        <v>36</v>
      </c>
      <c r="M46">
        <v>0</v>
      </c>
      <c r="N46">
        <v>0</v>
      </c>
    </row>
    <row r="47" spans="1:14" x14ac:dyDescent="0.25">
      <c r="A47">
        <v>3112</v>
      </c>
      <c r="B47" t="s">
        <v>17</v>
      </c>
      <c r="C47" t="s">
        <v>71</v>
      </c>
      <c r="D47" t="s">
        <v>14</v>
      </c>
      <c r="F47">
        <v>288</v>
      </c>
      <c r="J47">
        <v>288</v>
      </c>
      <c r="K47">
        <v>168</v>
      </c>
      <c r="L47">
        <v>120</v>
      </c>
      <c r="M47">
        <v>120</v>
      </c>
      <c r="N47">
        <v>120</v>
      </c>
    </row>
    <row r="48" spans="1:14" x14ac:dyDescent="0.25">
      <c r="A48">
        <v>3112</v>
      </c>
      <c r="B48" t="s">
        <v>22</v>
      </c>
      <c r="C48" t="s">
        <v>72</v>
      </c>
      <c r="D48" t="s">
        <v>14</v>
      </c>
      <c r="F48">
        <v>240</v>
      </c>
      <c r="J48">
        <v>240</v>
      </c>
      <c r="K48">
        <v>156</v>
      </c>
      <c r="L48">
        <v>108</v>
      </c>
      <c r="M48">
        <v>84</v>
      </c>
      <c r="N48">
        <v>84</v>
      </c>
    </row>
    <row r="49" spans="1:14" x14ac:dyDescent="0.25">
      <c r="A49">
        <v>3112</v>
      </c>
      <c r="B49" t="s">
        <v>57</v>
      </c>
      <c r="C49" t="s">
        <v>73</v>
      </c>
      <c r="D49" t="s">
        <v>14</v>
      </c>
      <c r="F49">
        <v>192</v>
      </c>
      <c r="J49">
        <v>192</v>
      </c>
      <c r="K49">
        <v>204</v>
      </c>
      <c r="L49">
        <v>120</v>
      </c>
      <c r="M49">
        <v>-12</v>
      </c>
      <c r="N49">
        <v>0</v>
      </c>
    </row>
    <row r="50" spans="1:14" x14ac:dyDescent="0.25">
      <c r="A50">
        <v>3113</v>
      </c>
      <c r="B50" t="s">
        <v>17</v>
      </c>
      <c r="C50" t="s">
        <v>74</v>
      </c>
      <c r="D50" t="s">
        <v>14</v>
      </c>
      <c r="F50">
        <v>360</v>
      </c>
      <c r="J50">
        <v>360</v>
      </c>
      <c r="K50">
        <v>377</v>
      </c>
      <c r="L50">
        <v>293</v>
      </c>
      <c r="M50">
        <v>-17</v>
      </c>
      <c r="N50">
        <v>0</v>
      </c>
    </row>
    <row r="51" spans="1:14" x14ac:dyDescent="0.25">
      <c r="A51">
        <v>3113</v>
      </c>
      <c r="B51" t="s">
        <v>75</v>
      </c>
      <c r="C51" t="s">
        <v>76</v>
      </c>
      <c r="D51" t="s">
        <v>14</v>
      </c>
      <c r="F51">
        <v>360</v>
      </c>
      <c r="J51">
        <v>360</v>
      </c>
      <c r="K51">
        <v>282</v>
      </c>
      <c r="L51">
        <v>198</v>
      </c>
      <c r="M51">
        <v>78</v>
      </c>
      <c r="N51">
        <v>78</v>
      </c>
    </row>
    <row r="52" spans="1:14" x14ac:dyDescent="0.25">
      <c r="A52">
        <v>3133</v>
      </c>
      <c r="B52" t="s">
        <v>12</v>
      </c>
      <c r="C52" t="s">
        <v>77</v>
      </c>
      <c r="D52" t="s">
        <v>14</v>
      </c>
      <c r="F52">
        <v>360</v>
      </c>
      <c r="J52">
        <v>360</v>
      </c>
      <c r="K52">
        <v>204</v>
      </c>
      <c r="L52">
        <v>108</v>
      </c>
      <c r="M52">
        <v>156</v>
      </c>
      <c r="N52">
        <v>156</v>
      </c>
    </row>
    <row r="53" spans="1:14" x14ac:dyDescent="0.25">
      <c r="A53">
        <v>3140</v>
      </c>
      <c r="B53" t="s">
        <v>17</v>
      </c>
      <c r="C53" t="s">
        <v>78</v>
      </c>
      <c r="D53" t="s">
        <v>14</v>
      </c>
      <c r="F53">
        <v>420</v>
      </c>
      <c r="J53">
        <v>420</v>
      </c>
      <c r="K53">
        <v>288</v>
      </c>
      <c r="L53">
        <v>180</v>
      </c>
      <c r="M53">
        <v>132</v>
      </c>
      <c r="N53">
        <v>132</v>
      </c>
    </row>
    <row r="54" spans="1:14" x14ac:dyDescent="0.25">
      <c r="A54">
        <v>3140</v>
      </c>
      <c r="B54" t="s">
        <v>22</v>
      </c>
      <c r="C54" t="s">
        <v>79</v>
      </c>
      <c r="D54" t="s">
        <v>14</v>
      </c>
      <c r="F54">
        <v>84</v>
      </c>
      <c r="J54">
        <v>84</v>
      </c>
      <c r="K54">
        <v>108</v>
      </c>
      <c r="L54">
        <v>24</v>
      </c>
      <c r="M54">
        <v>-24</v>
      </c>
      <c r="N54">
        <v>0</v>
      </c>
    </row>
    <row r="55" spans="1:14" x14ac:dyDescent="0.25">
      <c r="A55">
        <v>3140</v>
      </c>
      <c r="B55" t="s">
        <v>57</v>
      </c>
      <c r="C55" t="s">
        <v>80</v>
      </c>
      <c r="D55" t="s">
        <v>14</v>
      </c>
      <c r="F55">
        <v>216</v>
      </c>
      <c r="J55">
        <v>216</v>
      </c>
      <c r="K55">
        <v>132</v>
      </c>
      <c r="L55">
        <v>48</v>
      </c>
      <c r="M55">
        <v>84</v>
      </c>
      <c r="N55">
        <v>72</v>
      </c>
    </row>
    <row r="56" spans="1:14" x14ac:dyDescent="0.25">
      <c r="A56">
        <v>3141</v>
      </c>
      <c r="B56" t="s">
        <v>17</v>
      </c>
      <c r="C56" t="s">
        <v>81</v>
      </c>
      <c r="D56" t="s">
        <v>14</v>
      </c>
      <c r="F56">
        <v>312</v>
      </c>
      <c r="J56">
        <v>312</v>
      </c>
      <c r="K56">
        <v>204</v>
      </c>
      <c r="L56">
        <v>108</v>
      </c>
      <c r="M56">
        <v>108</v>
      </c>
      <c r="N56">
        <v>108</v>
      </c>
    </row>
    <row r="57" spans="1:14" x14ac:dyDescent="0.25">
      <c r="A57">
        <v>3141</v>
      </c>
      <c r="B57" t="s">
        <v>22</v>
      </c>
      <c r="C57" t="s">
        <v>82</v>
      </c>
      <c r="D57" t="s">
        <v>14</v>
      </c>
      <c r="F57">
        <v>336</v>
      </c>
      <c r="J57">
        <v>336</v>
      </c>
      <c r="K57">
        <v>216</v>
      </c>
      <c r="L57">
        <v>120</v>
      </c>
      <c r="M57">
        <v>120</v>
      </c>
      <c r="N57">
        <v>108</v>
      </c>
    </row>
    <row r="58" spans="1:14" x14ac:dyDescent="0.25">
      <c r="A58">
        <v>3141</v>
      </c>
      <c r="B58" t="s">
        <v>57</v>
      </c>
      <c r="C58" t="s">
        <v>83</v>
      </c>
      <c r="D58" t="s">
        <v>14</v>
      </c>
      <c r="F58">
        <v>168</v>
      </c>
      <c r="J58">
        <v>168</v>
      </c>
      <c r="K58">
        <v>120</v>
      </c>
      <c r="L58">
        <v>12</v>
      </c>
      <c r="M58">
        <v>48</v>
      </c>
      <c r="N58">
        <v>48</v>
      </c>
    </row>
    <row r="59" spans="1:14" x14ac:dyDescent="0.25">
      <c r="A59">
        <v>3144</v>
      </c>
      <c r="B59" t="s">
        <v>17</v>
      </c>
      <c r="C59" t="s">
        <v>84</v>
      </c>
      <c r="D59" t="s">
        <v>14</v>
      </c>
      <c r="F59">
        <v>312</v>
      </c>
      <c r="J59">
        <v>312</v>
      </c>
      <c r="K59">
        <v>240</v>
      </c>
      <c r="L59">
        <v>144</v>
      </c>
      <c r="M59">
        <v>72</v>
      </c>
      <c r="N59">
        <v>72</v>
      </c>
    </row>
    <row r="60" spans="1:14" x14ac:dyDescent="0.25">
      <c r="A60">
        <v>3144</v>
      </c>
      <c r="B60" t="s">
        <v>22</v>
      </c>
      <c r="C60" t="s">
        <v>85</v>
      </c>
      <c r="D60" t="s">
        <v>14</v>
      </c>
      <c r="F60">
        <v>240</v>
      </c>
      <c r="J60">
        <v>240</v>
      </c>
      <c r="K60">
        <v>276</v>
      </c>
      <c r="L60">
        <v>120</v>
      </c>
      <c r="M60">
        <v>-36</v>
      </c>
      <c r="N60">
        <v>0</v>
      </c>
    </row>
    <row r="61" spans="1:14" x14ac:dyDescent="0.25">
      <c r="A61">
        <v>3144</v>
      </c>
      <c r="B61" t="s">
        <v>57</v>
      </c>
      <c r="C61" t="s">
        <v>86</v>
      </c>
      <c r="D61" t="s">
        <v>14</v>
      </c>
      <c r="F61">
        <v>288</v>
      </c>
      <c r="J61">
        <v>288</v>
      </c>
      <c r="K61">
        <v>192</v>
      </c>
      <c r="L61">
        <v>96</v>
      </c>
      <c r="M61">
        <v>96</v>
      </c>
      <c r="N61">
        <v>96</v>
      </c>
    </row>
    <row r="62" spans="1:14" x14ac:dyDescent="0.25">
      <c r="A62">
        <v>3146</v>
      </c>
      <c r="B62" t="s">
        <v>12</v>
      </c>
      <c r="C62" t="s">
        <v>87</v>
      </c>
      <c r="D62" t="s">
        <v>14</v>
      </c>
      <c r="F62">
        <v>312</v>
      </c>
      <c r="J62">
        <v>312</v>
      </c>
      <c r="K62">
        <v>216</v>
      </c>
      <c r="L62">
        <v>108</v>
      </c>
      <c r="M62">
        <v>96</v>
      </c>
      <c r="N62">
        <v>96</v>
      </c>
    </row>
    <row r="63" spans="1:14" x14ac:dyDescent="0.25">
      <c r="A63">
        <v>3146</v>
      </c>
      <c r="B63" t="s">
        <v>17</v>
      </c>
      <c r="C63" t="s">
        <v>88</v>
      </c>
      <c r="D63" t="s">
        <v>14</v>
      </c>
      <c r="F63">
        <v>672</v>
      </c>
      <c r="J63">
        <v>672</v>
      </c>
      <c r="K63">
        <v>504</v>
      </c>
      <c r="L63">
        <v>372</v>
      </c>
      <c r="M63">
        <v>168</v>
      </c>
      <c r="N63">
        <v>156</v>
      </c>
    </row>
    <row r="64" spans="1:14" x14ac:dyDescent="0.25">
      <c r="A64">
        <v>3146</v>
      </c>
      <c r="B64" t="s">
        <v>22</v>
      </c>
      <c r="C64" t="s">
        <v>89</v>
      </c>
      <c r="D64" t="s">
        <v>14</v>
      </c>
      <c r="F64">
        <v>192</v>
      </c>
      <c r="J64">
        <v>192</v>
      </c>
      <c r="K64">
        <v>180</v>
      </c>
      <c r="L64">
        <v>108</v>
      </c>
      <c r="M64">
        <v>12</v>
      </c>
      <c r="N64">
        <v>12</v>
      </c>
    </row>
    <row r="65" spans="1:14" x14ac:dyDescent="0.25">
      <c r="A65">
        <v>3147</v>
      </c>
      <c r="B65" t="s">
        <v>17</v>
      </c>
      <c r="C65" t="s">
        <v>90</v>
      </c>
      <c r="D65" t="s">
        <v>14</v>
      </c>
      <c r="F65">
        <v>360</v>
      </c>
      <c r="J65">
        <v>360</v>
      </c>
      <c r="K65">
        <v>288</v>
      </c>
      <c r="L65">
        <v>168</v>
      </c>
      <c r="M65">
        <v>72</v>
      </c>
      <c r="N65">
        <v>72</v>
      </c>
    </row>
    <row r="66" spans="1:14" x14ac:dyDescent="0.25">
      <c r="A66">
        <v>3147</v>
      </c>
      <c r="B66" t="s">
        <v>91</v>
      </c>
      <c r="C66" t="s">
        <v>92</v>
      </c>
      <c r="D66" t="s">
        <v>14</v>
      </c>
      <c r="F66">
        <v>360</v>
      </c>
      <c r="J66">
        <v>360</v>
      </c>
      <c r="K66">
        <v>216</v>
      </c>
      <c r="L66">
        <v>108</v>
      </c>
      <c r="M66">
        <v>144</v>
      </c>
      <c r="N66">
        <v>144</v>
      </c>
    </row>
    <row r="67" spans="1:14" x14ac:dyDescent="0.25">
      <c r="A67">
        <v>3154</v>
      </c>
      <c r="B67" t="s">
        <v>17</v>
      </c>
      <c r="C67" t="s">
        <v>93</v>
      </c>
      <c r="D67" t="s">
        <v>14</v>
      </c>
      <c r="F67">
        <v>420</v>
      </c>
      <c r="J67">
        <v>420</v>
      </c>
      <c r="K67">
        <v>216</v>
      </c>
      <c r="L67">
        <v>108</v>
      </c>
      <c r="M67">
        <v>204</v>
      </c>
      <c r="N67">
        <v>204</v>
      </c>
    </row>
    <row r="68" spans="1:14" x14ac:dyDescent="0.25">
      <c r="A68">
        <v>3154</v>
      </c>
      <c r="B68" t="s">
        <v>37</v>
      </c>
      <c r="C68" t="s">
        <v>94</v>
      </c>
      <c r="D68" t="s">
        <v>14</v>
      </c>
      <c r="F68">
        <v>300</v>
      </c>
      <c r="J68">
        <v>300</v>
      </c>
      <c r="K68">
        <v>192</v>
      </c>
      <c r="L68">
        <v>84</v>
      </c>
      <c r="M68">
        <v>108</v>
      </c>
      <c r="N68">
        <v>108</v>
      </c>
    </row>
    <row r="69" spans="1:14" x14ac:dyDescent="0.25">
      <c r="A69">
        <v>3203</v>
      </c>
      <c r="B69" t="s">
        <v>17</v>
      </c>
      <c r="C69" t="s">
        <v>95</v>
      </c>
      <c r="D69" t="s">
        <v>14</v>
      </c>
      <c r="F69">
        <v>450</v>
      </c>
      <c r="J69">
        <v>450</v>
      </c>
      <c r="K69">
        <v>300</v>
      </c>
      <c r="L69">
        <v>165</v>
      </c>
      <c r="M69">
        <v>150</v>
      </c>
      <c r="N69">
        <v>165</v>
      </c>
    </row>
    <row r="70" spans="1:14" x14ac:dyDescent="0.25">
      <c r="A70">
        <v>3203</v>
      </c>
      <c r="B70" t="s">
        <v>96</v>
      </c>
      <c r="C70" t="s">
        <v>97</v>
      </c>
      <c r="D70" t="s">
        <v>14</v>
      </c>
      <c r="F70">
        <v>360</v>
      </c>
      <c r="J70">
        <v>360</v>
      </c>
      <c r="K70">
        <v>225</v>
      </c>
      <c r="L70">
        <v>105</v>
      </c>
      <c r="M70">
        <v>135</v>
      </c>
      <c r="N70">
        <v>135</v>
      </c>
    </row>
    <row r="71" spans="1:14" x14ac:dyDescent="0.25">
      <c r="A71">
        <v>3203</v>
      </c>
      <c r="B71" t="s">
        <v>75</v>
      </c>
      <c r="C71" t="s">
        <v>98</v>
      </c>
      <c r="D71" t="s">
        <v>14</v>
      </c>
      <c r="F71">
        <v>180</v>
      </c>
      <c r="J71">
        <v>180</v>
      </c>
      <c r="K71">
        <v>120</v>
      </c>
      <c r="L71">
        <v>30</v>
      </c>
      <c r="M71">
        <v>60</v>
      </c>
      <c r="N71">
        <v>60</v>
      </c>
    </row>
    <row r="72" spans="1:14" x14ac:dyDescent="0.25">
      <c r="A72">
        <v>3209</v>
      </c>
      <c r="B72" t="s">
        <v>17</v>
      </c>
      <c r="C72" t="s">
        <v>99</v>
      </c>
      <c r="D72" t="s">
        <v>14</v>
      </c>
      <c r="F72">
        <v>675</v>
      </c>
      <c r="J72">
        <v>675</v>
      </c>
      <c r="K72">
        <v>450</v>
      </c>
      <c r="L72">
        <v>345</v>
      </c>
      <c r="M72">
        <v>225</v>
      </c>
      <c r="N72">
        <v>225</v>
      </c>
    </row>
    <row r="73" spans="1:14" x14ac:dyDescent="0.25">
      <c r="A73">
        <v>3209</v>
      </c>
      <c r="B73" t="s">
        <v>34</v>
      </c>
      <c r="C73" t="s">
        <v>100</v>
      </c>
      <c r="D73" t="s">
        <v>14</v>
      </c>
      <c r="F73">
        <v>150</v>
      </c>
      <c r="J73">
        <v>150</v>
      </c>
      <c r="K73">
        <v>105</v>
      </c>
      <c r="L73">
        <v>45</v>
      </c>
      <c r="M73">
        <v>45</v>
      </c>
      <c r="N73">
        <v>45</v>
      </c>
    </row>
    <row r="74" spans="1:14" x14ac:dyDescent="0.25">
      <c r="A74">
        <v>3500</v>
      </c>
      <c r="B74" t="s">
        <v>12</v>
      </c>
      <c r="C74" t="s">
        <v>101</v>
      </c>
      <c r="D74" t="s">
        <v>14</v>
      </c>
      <c r="F74">
        <v>600</v>
      </c>
      <c r="J74">
        <v>600</v>
      </c>
      <c r="K74">
        <v>345</v>
      </c>
      <c r="L74">
        <v>240</v>
      </c>
      <c r="M74">
        <v>255</v>
      </c>
      <c r="N74">
        <v>255</v>
      </c>
    </row>
    <row r="75" spans="1:14" x14ac:dyDescent="0.25">
      <c r="A75">
        <v>3500</v>
      </c>
      <c r="B75" t="s">
        <v>17</v>
      </c>
      <c r="C75" t="s">
        <v>102</v>
      </c>
      <c r="D75" t="s">
        <v>14</v>
      </c>
      <c r="F75">
        <v>750</v>
      </c>
      <c r="J75">
        <v>750</v>
      </c>
      <c r="K75">
        <v>675</v>
      </c>
      <c r="L75">
        <v>525</v>
      </c>
      <c r="M75">
        <v>75</v>
      </c>
      <c r="N75">
        <v>75</v>
      </c>
    </row>
    <row r="76" spans="1:14" x14ac:dyDescent="0.25">
      <c r="A76">
        <v>3500</v>
      </c>
      <c r="B76" t="s">
        <v>57</v>
      </c>
      <c r="C76" t="s">
        <v>103</v>
      </c>
      <c r="D76" t="s">
        <v>14</v>
      </c>
      <c r="F76">
        <v>690</v>
      </c>
      <c r="J76">
        <v>690</v>
      </c>
      <c r="K76">
        <v>585</v>
      </c>
      <c r="L76">
        <v>435</v>
      </c>
      <c r="M76">
        <v>105</v>
      </c>
      <c r="N76">
        <v>105</v>
      </c>
    </row>
    <row r="77" spans="1:14" x14ac:dyDescent="0.25">
      <c r="A77">
        <v>3503</v>
      </c>
      <c r="B77" t="s">
        <v>12</v>
      </c>
      <c r="C77" t="s">
        <v>104</v>
      </c>
      <c r="D77" t="s">
        <v>14</v>
      </c>
      <c r="F77">
        <v>510</v>
      </c>
      <c r="J77">
        <v>510</v>
      </c>
      <c r="K77">
        <v>300</v>
      </c>
      <c r="L77">
        <v>180</v>
      </c>
      <c r="M77">
        <v>210</v>
      </c>
      <c r="N77">
        <v>210</v>
      </c>
    </row>
    <row r="78" spans="1:14" x14ac:dyDescent="0.25">
      <c r="A78">
        <v>3503</v>
      </c>
      <c r="B78" t="s">
        <v>17</v>
      </c>
      <c r="C78" t="s">
        <v>105</v>
      </c>
      <c r="D78" t="s">
        <v>14</v>
      </c>
      <c r="F78">
        <v>660</v>
      </c>
      <c r="J78">
        <v>660</v>
      </c>
      <c r="K78">
        <v>450</v>
      </c>
      <c r="L78">
        <v>300</v>
      </c>
      <c r="M78">
        <v>210</v>
      </c>
      <c r="N78">
        <v>225</v>
      </c>
    </row>
    <row r="79" spans="1:14" x14ac:dyDescent="0.25">
      <c r="A79">
        <v>3503</v>
      </c>
      <c r="B79" t="s">
        <v>57</v>
      </c>
      <c r="C79" t="s">
        <v>106</v>
      </c>
      <c r="D79" t="s">
        <v>14</v>
      </c>
      <c r="F79">
        <v>315</v>
      </c>
      <c r="J79">
        <v>315</v>
      </c>
      <c r="K79">
        <v>255</v>
      </c>
      <c r="L79">
        <v>120</v>
      </c>
      <c r="M79">
        <v>60</v>
      </c>
      <c r="N79">
        <v>60</v>
      </c>
    </row>
    <row r="80" spans="1:14" x14ac:dyDescent="0.25">
      <c r="A80">
        <v>3511</v>
      </c>
      <c r="B80" t="s">
        <v>107</v>
      </c>
      <c r="C80" t="s">
        <v>108</v>
      </c>
      <c r="D80" t="s">
        <v>14</v>
      </c>
      <c r="F80">
        <v>432</v>
      </c>
      <c r="J80">
        <v>432</v>
      </c>
      <c r="K80">
        <v>324</v>
      </c>
      <c r="L80">
        <v>204</v>
      </c>
      <c r="M80">
        <v>108</v>
      </c>
      <c r="N80">
        <v>108</v>
      </c>
    </row>
    <row r="81" spans="1:14" x14ac:dyDescent="0.25">
      <c r="A81">
        <v>3511</v>
      </c>
      <c r="B81" t="s">
        <v>17</v>
      </c>
      <c r="C81" t="s">
        <v>109</v>
      </c>
      <c r="D81" t="s">
        <v>14</v>
      </c>
      <c r="F81">
        <v>552</v>
      </c>
      <c r="J81">
        <v>552</v>
      </c>
      <c r="K81">
        <v>456</v>
      </c>
      <c r="L81">
        <v>336</v>
      </c>
      <c r="M81">
        <v>96</v>
      </c>
      <c r="N81">
        <v>96</v>
      </c>
    </row>
    <row r="82" spans="1:14" x14ac:dyDescent="0.25">
      <c r="A82">
        <v>3511</v>
      </c>
      <c r="B82" t="s">
        <v>34</v>
      </c>
      <c r="C82" t="s">
        <v>110</v>
      </c>
      <c r="D82" t="s">
        <v>14</v>
      </c>
      <c r="F82">
        <v>240</v>
      </c>
      <c r="J82">
        <v>240</v>
      </c>
      <c r="K82">
        <v>180</v>
      </c>
      <c r="L82">
        <v>60</v>
      </c>
      <c r="M82">
        <v>60</v>
      </c>
      <c r="N82">
        <v>60</v>
      </c>
    </row>
    <row r="83" spans="1:14" x14ac:dyDescent="0.25">
      <c r="A83">
        <v>3513</v>
      </c>
      <c r="B83" t="s">
        <v>17</v>
      </c>
      <c r="C83" t="s">
        <v>111</v>
      </c>
      <c r="D83" t="s">
        <v>14</v>
      </c>
      <c r="F83">
        <v>345</v>
      </c>
      <c r="J83">
        <v>345</v>
      </c>
      <c r="K83">
        <v>255</v>
      </c>
      <c r="L83">
        <v>180</v>
      </c>
      <c r="M83">
        <v>90</v>
      </c>
      <c r="N83">
        <v>90</v>
      </c>
    </row>
    <row r="84" spans="1:14" x14ac:dyDescent="0.25">
      <c r="A84">
        <v>3513</v>
      </c>
      <c r="B84" t="s">
        <v>48</v>
      </c>
      <c r="C84" t="s">
        <v>112</v>
      </c>
      <c r="D84" t="s">
        <v>14</v>
      </c>
      <c r="F84">
        <v>255</v>
      </c>
      <c r="J84">
        <v>255</v>
      </c>
      <c r="K84">
        <v>180</v>
      </c>
      <c r="L84">
        <v>135</v>
      </c>
      <c r="M84">
        <v>75</v>
      </c>
      <c r="N84">
        <v>75</v>
      </c>
    </row>
    <row r="85" spans="1:14" x14ac:dyDescent="0.25">
      <c r="A85">
        <v>3514</v>
      </c>
      <c r="B85" t="s">
        <v>17</v>
      </c>
      <c r="C85" t="s">
        <v>113</v>
      </c>
      <c r="D85" t="s">
        <v>14</v>
      </c>
      <c r="F85">
        <v>1005</v>
      </c>
      <c r="J85">
        <v>1005</v>
      </c>
      <c r="K85">
        <v>666</v>
      </c>
      <c r="L85">
        <v>366</v>
      </c>
      <c r="M85">
        <v>339</v>
      </c>
      <c r="N85">
        <v>339</v>
      </c>
    </row>
    <row r="86" spans="1:14" x14ac:dyDescent="0.25">
      <c r="A86">
        <v>3514</v>
      </c>
      <c r="B86" t="s">
        <v>22</v>
      </c>
      <c r="C86" t="s">
        <v>114</v>
      </c>
      <c r="D86" t="s">
        <v>14</v>
      </c>
      <c r="F86">
        <v>870</v>
      </c>
      <c r="J86">
        <v>870</v>
      </c>
      <c r="K86">
        <v>585</v>
      </c>
      <c r="L86">
        <v>390</v>
      </c>
      <c r="M86">
        <v>285</v>
      </c>
      <c r="N86">
        <v>270</v>
      </c>
    </row>
    <row r="87" spans="1:14" x14ac:dyDescent="0.25">
      <c r="A87">
        <v>3514</v>
      </c>
      <c r="B87" t="s">
        <v>57</v>
      </c>
      <c r="C87" t="s">
        <v>115</v>
      </c>
      <c r="D87" t="s">
        <v>14</v>
      </c>
      <c r="F87">
        <v>540</v>
      </c>
      <c r="J87">
        <v>540</v>
      </c>
      <c r="K87">
        <v>300</v>
      </c>
      <c r="L87">
        <v>135</v>
      </c>
      <c r="M87">
        <v>240</v>
      </c>
      <c r="N87">
        <v>240</v>
      </c>
    </row>
    <row r="88" spans="1:14" x14ac:dyDescent="0.25">
      <c r="A88">
        <v>3517</v>
      </c>
      <c r="B88" t="s">
        <v>17</v>
      </c>
      <c r="C88" t="s">
        <v>116</v>
      </c>
      <c r="D88" t="s">
        <v>14</v>
      </c>
      <c r="F88">
        <v>690</v>
      </c>
      <c r="J88">
        <v>690</v>
      </c>
      <c r="K88">
        <v>510</v>
      </c>
      <c r="L88">
        <v>345</v>
      </c>
      <c r="M88">
        <v>180</v>
      </c>
      <c r="N88">
        <v>180</v>
      </c>
    </row>
    <row r="89" spans="1:14" x14ac:dyDescent="0.25">
      <c r="A89">
        <v>3517</v>
      </c>
      <c r="B89" t="s">
        <v>117</v>
      </c>
      <c r="C89" t="s">
        <v>118</v>
      </c>
      <c r="D89" t="s">
        <v>14</v>
      </c>
      <c r="F89">
        <v>720</v>
      </c>
      <c r="J89">
        <v>720</v>
      </c>
      <c r="K89">
        <v>555</v>
      </c>
      <c r="L89">
        <v>405</v>
      </c>
      <c r="M89">
        <v>165</v>
      </c>
      <c r="N89">
        <v>180</v>
      </c>
    </row>
    <row r="90" spans="1:14" x14ac:dyDescent="0.25">
      <c r="A90">
        <v>3520</v>
      </c>
      <c r="B90" t="s">
        <v>12</v>
      </c>
      <c r="C90" t="s">
        <v>119</v>
      </c>
      <c r="D90" t="s">
        <v>14</v>
      </c>
      <c r="F90">
        <v>600</v>
      </c>
      <c r="J90">
        <v>600</v>
      </c>
      <c r="K90">
        <v>255</v>
      </c>
      <c r="L90">
        <v>150</v>
      </c>
      <c r="M90">
        <v>345</v>
      </c>
      <c r="N90">
        <v>375</v>
      </c>
    </row>
    <row r="91" spans="1:14" x14ac:dyDescent="0.25">
      <c r="A91">
        <v>3520</v>
      </c>
      <c r="B91" t="s">
        <v>17</v>
      </c>
      <c r="C91" t="s">
        <v>120</v>
      </c>
      <c r="D91" t="s">
        <v>14</v>
      </c>
      <c r="F91">
        <v>975</v>
      </c>
      <c r="J91">
        <v>975</v>
      </c>
      <c r="K91">
        <v>420</v>
      </c>
      <c r="L91">
        <v>300</v>
      </c>
      <c r="M91">
        <v>555</v>
      </c>
      <c r="N91">
        <v>600</v>
      </c>
    </row>
    <row r="92" spans="1:14" x14ac:dyDescent="0.25">
      <c r="A92">
        <v>3523</v>
      </c>
      <c r="B92" t="s">
        <v>17</v>
      </c>
      <c r="C92" t="s">
        <v>121</v>
      </c>
      <c r="D92" t="s">
        <v>14</v>
      </c>
      <c r="F92">
        <v>360</v>
      </c>
      <c r="J92">
        <v>360</v>
      </c>
      <c r="K92">
        <v>156</v>
      </c>
      <c r="L92">
        <v>48</v>
      </c>
      <c r="M92">
        <v>204</v>
      </c>
      <c r="N92">
        <v>204</v>
      </c>
    </row>
    <row r="93" spans="1:14" x14ac:dyDescent="0.25">
      <c r="A93">
        <v>3524</v>
      </c>
      <c r="B93" t="s">
        <v>12</v>
      </c>
      <c r="C93" t="s">
        <v>122</v>
      </c>
      <c r="D93" t="s">
        <v>14</v>
      </c>
      <c r="F93">
        <v>480</v>
      </c>
      <c r="J93">
        <v>480</v>
      </c>
      <c r="K93">
        <v>348</v>
      </c>
      <c r="L93">
        <v>252</v>
      </c>
      <c r="M93">
        <v>132</v>
      </c>
      <c r="N93">
        <v>168</v>
      </c>
    </row>
    <row r="94" spans="1:14" x14ac:dyDescent="0.25">
      <c r="A94">
        <v>3524</v>
      </c>
      <c r="B94" t="s">
        <v>17</v>
      </c>
      <c r="C94" t="s">
        <v>123</v>
      </c>
      <c r="D94" t="s">
        <v>14</v>
      </c>
      <c r="F94">
        <v>480</v>
      </c>
      <c r="J94">
        <v>480</v>
      </c>
      <c r="K94">
        <v>300</v>
      </c>
      <c r="L94">
        <v>204</v>
      </c>
      <c r="M94">
        <v>180</v>
      </c>
      <c r="N94">
        <v>204</v>
      </c>
    </row>
    <row r="95" spans="1:14" x14ac:dyDescent="0.25">
      <c r="A95">
        <v>3524</v>
      </c>
      <c r="B95" t="s">
        <v>75</v>
      </c>
      <c r="C95" t="s">
        <v>124</v>
      </c>
      <c r="D95" t="s">
        <v>14</v>
      </c>
      <c r="F95">
        <v>228</v>
      </c>
      <c r="J95">
        <v>228</v>
      </c>
      <c r="K95">
        <v>132</v>
      </c>
      <c r="L95">
        <v>60</v>
      </c>
      <c r="M95">
        <v>96</v>
      </c>
      <c r="N95">
        <v>96</v>
      </c>
    </row>
    <row r="96" spans="1:14" x14ac:dyDescent="0.25">
      <c r="A96">
        <v>3527</v>
      </c>
      <c r="B96" t="s">
        <v>12</v>
      </c>
      <c r="C96" t="s">
        <v>125</v>
      </c>
      <c r="D96" t="s">
        <v>14</v>
      </c>
      <c r="F96">
        <v>504</v>
      </c>
      <c r="J96">
        <v>504</v>
      </c>
      <c r="K96">
        <v>252</v>
      </c>
      <c r="L96">
        <v>168</v>
      </c>
      <c r="M96">
        <v>252</v>
      </c>
      <c r="N96">
        <v>252</v>
      </c>
    </row>
    <row r="97" spans="1:14" x14ac:dyDescent="0.25">
      <c r="A97">
        <v>3527</v>
      </c>
      <c r="B97" t="s">
        <v>17</v>
      </c>
      <c r="C97" t="s">
        <v>126</v>
      </c>
      <c r="D97" t="s">
        <v>14</v>
      </c>
      <c r="F97">
        <v>636</v>
      </c>
      <c r="J97">
        <v>636</v>
      </c>
      <c r="K97">
        <v>468</v>
      </c>
      <c r="L97">
        <v>348</v>
      </c>
      <c r="M97">
        <v>168</v>
      </c>
      <c r="N97">
        <v>168</v>
      </c>
    </row>
    <row r="98" spans="1:14" x14ac:dyDescent="0.25">
      <c r="A98">
        <v>3530</v>
      </c>
      <c r="B98" t="s">
        <v>12</v>
      </c>
      <c r="C98" t="s">
        <v>127</v>
      </c>
      <c r="D98" t="s">
        <v>14</v>
      </c>
      <c r="F98">
        <v>960</v>
      </c>
      <c r="J98">
        <v>960</v>
      </c>
      <c r="K98">
        <v>960</v>
      </c>
      <c r="L98">
        <v>630</v>
      </c>
      <c r="M98">
        <v>0</v>
      </c>
      <c r="N98">
        <v>15</v>
      </c>
    </row>
    <row r="99" spans="1:14" x14ac:dyDescent="0.25">
      <c r="A99">
        <v>3530</v>
      </c>
      <c r="B99" t="s">
        <v>17</v>
      </c>
      <c r="C99" t="s">
        <v>128</v>
      </c>
      <c r="D99" t="s">
        <v>14</v>
      </c>
      <c r="F99">
        <v>1440</v>
      </c>
      <c r="G99">
        <v>510</v>
      </c>
      <c r="J99">
        <v>1950</v>
      </c>
      <c r="K99">
        <v>1440</v>
      </c>
      <c r="L99">
        <v>1020</v>
      </c>
      <c r="M99">
        <v>510</v>
      </c>
      <c r="N99">
        <v>540</v>
      </c>
    </row>
    <row r="100" spans="1:14" x14ac:dyDescent="0.25">
      <c r="A100">
        <v>4016</v>
      </c>
      <c r="B100" t="s">
        <v>12</v>
      </c>
      <c r="C100" t="s">
        <v>129</v>
      </c>
      <c r="D100" t="s">
        <v>14</v>
      </c>
      <c r="F100">
        <v>285</v>
      </c>
      <c r="J100">
        <v>285</v>
      </c>
      <c r="K100">
        <v>405</v>
      </c>
      <c r="L100">
        <v>255</v>
      </c>
      <c r="M100">
        <v>-120</v>
      </c>
      <c r="N100">
        <v>0</v>
      </c>
    </row>
    <row r="101" spans="1:14" x14ac:dyDescent="0.25">
      <c r="A101">
        <v>4016</v>
      </c>
      <c r="B101" t="s">
        <v>17</v>
      </c>
      <c r="C101" t="s">
        <v>130</v>
      </c>
      <c r="D101" t="s">
        <v>14</v>
      </c>
      <c r="F101">
        <v>1005</v>
      </c>
      <c r="J101">
        <v>1005</v>
      </c>
      <c r="K101">
        <v>840</v>
      </c>
      <c r="L101">
        <v>690</v>
      </c>
      <c r="M101">
        <v>165</v>
      </c>
      <c r="N101">
        <v>195</v>
      </c>
    </row>
    <row r="102" spans="1:14" x14ac:dyDescent="0.25">
      <c r="A102">
        <v>4016</v>
      </c>
      <c r="B102" t="s">
        <v>96</v>
      </c>
      <c r="C102" t="s">
        <v>131</v>
      </c>
      <c r="D102" t="s">
        <v>14</v>
      </c>
      <c r="F102">
        <v>825</v>
      </c>
      <c r="J102">
        <v>825</v>
      </c>
      <c r="K102">
        <v>675</v>
      </c>
      <c r="L102">
        <v>525</v>
      </c>
      <c r="M102">
        <v>150</v>
      </c>
      <c r="N102">
        <v>165</v>
      </c>
    </row>
    <row r="103" spans="1:14" x14ac:dyDescent="0.25">
      <c r="A103">
        <v>4016</v>
      </c>
      <c r="B103" t="s">
        <v>37</v>
      </c>
      <c r="C103" t="s">
        <v>132</v>
      </c>
      <c r="D103" t="s">
        <v>14</v>
      </c>
      <c r="F103">
        <v>480</v>
      </c>
      <c r="J103">
        <v>480</v>
      </c>
      <c r="K103">
        <v>510</v>
      </c>
      <c r="L103">
        <v>240</v>
      </c>
      <c r="M103">
        <v>-30</v>
      </c>
      <c r="N103">
        <v>0</v>
      </c>
    </row>
    <row r="104" spans="1:14" x14ac:dyDescent="0.25">
      <c r="A104">
        <v>4058</v>
      </c>
      <c r="B104" t="s">
        <v>17</v>
      </c>
      <c r="C104" t="s">
        <v>133</v>
      </c>
      <c r="D104" t="s">
        <v>14</v>
      </c>
      <c r="F104">
        <v>360</v>
      </c>
      <c r="J104">
        <v>360</v>
      </c>
      <c r="K104">
        <v>180</v>
      </c>
      <c r="L104">
        <v>90</v>
      </c>
      <c r="M104">
        <v>180</v>
      </c>
      <c r="N104">
        <v>180</v>
      </c>
    </row>
    <row r="105" spans="1:14" x14ac:dyDescent="0.25">
      <c r="A105">
        <v>4058</v>
      </c>
      <c r="B105" t="s">
        <v>57</v>
      </c>
      <c r="C105" t="s">
        <v>134</v>
      </c>
      <c r="D105" t="s">
        <v>14</v>
      </c>
      <c r="F105">
        <v>240</v>
      </c>
      <c r="J105">
        <v>240</v>
      </c>
      <c r="K105">
        <v>105</v>
      </c>
      <c r="L105">
        <v>15</v>
      </c>
      <c r="M105">
        <v>135</v>
      </c>
      <c r="N105">
        <v>135</v>
      </c>
    </row>
    <row r="106" spans="1:14" x14ac:dyDescent="0.25">
      <c r="A106">
        <v>4154</v>
      </c>
      <c r="B106" t="s">
        <v>17</v>
      </c>
      <c r="C106" t="s">
        <v>135</v>
      </c>
      <c r="D106" t="s">
        <v>14</v>
      </c>
      <c r="F106">
        <v>1200</v>
      </c>
      <c r="J106">
        <v>1200</v>
      </c>
      <c r="K106">
        <v>645</v>
      </c>
      <c r="L106">
        <v>300</v>
      </c>
      <c r="M106">
        <v>555</v>
      </c>
      <c r="N106">
        <v>555</v>
      </c>
    </row>
    <row r="107" spans="1:14" x14ac:dyDescent="0.25">
      <c r="A107">
        <v>4154</v>
      </c>
      <c r="B107" t="s">
        <v>34</v>
      </c>
      <c r="C107" t="s">
        <v>136</v>
      </c>
      <c r="D107" t="s">
        <v>14</v>
      </c>
      <c r="F107">
        <v>900</v>
      </c>
      <c r="J107">
        <v>900</v>
      </c>
      <c r="K107">
        <v>585</v>
      </c>
      <c r="L107">
        <v>300</v>
      </c>
      <c r="M107">
        <v>315</v>
      </c>
      <c r="N107">
        <v>315</v>
      </c>
    </row>
    <row r="108" spans="1:14" x14ac:dyDescent="0.25">
      <c r="A108">
        <v>4157</v>
      </c>
      <c r="B108" t="s">
        <v>17</v>
      </c>
      <c r="C108" t="s">
        <v>137</v>
      </c>
      <c r="D108" t="s">
        <v>14</v>
      </c>
      <c r="F108">
        <v>1200</v>
      </c>
      <c r="J108">
        <v>1200</v>
      </c>
      <c r="K108">
        <v>915</v>
      </c>
      <c r="L108">
        <v>630</v>
      </c>
      <c r="M108">
        <v>285</v>
      </c>
      <c r="N108">
        <v>285</v>
      </c>
    </row>
    <row r="109" spans="1:14" x14ac:dyDescent="0.25">
      <c r="A109">
        <v>4157</v>
      </c>
      <c r="B109" t="s">
        <v>34</v>
      </c>
      <c r="C109" t="s">
        <v>138</v>
      </c>
      <c r="D109" t="s">
        <v>14</v>
      </c>
      <c r="F109">
        <v>510</v>
      </c>
      <c r="J109">
        <v>510</v>
      </c>
      <c r="K109">
        <v>330</v>
      </c>
      <c r="L109">
        <v>195</v>
      </c>
      <c r="M109">
        <v>180</v>
      </c>
      <c r="N109">
        <v>180</v>
      </c>
    </row>
    <row r="110" spans="1:14" x14ac:dyDescent="0.25">
      <c r="A110">
        <v>4157</v>
      </c>
      <c r="B110" t="s">
        <v>75</v>
      </c>
      <c r="C110" t="s">
        <v>139</v>
      </c>
      <c r="D110" t="s">
        <v>14</v>
      </c>
      <c r="F110">
        <v>795</v>
      </c>
      <c r="J110">
        <v>795</v>
      </c>
      <c r="K110">
        <v>450</v>
      </c>
      <c r="L110">
        <v>255</v>
      </c>
      <c r="M110">
        <v>345</v>
      </c>
      <c r="N110">
        <v>345</v>
      </c>
    </row>
    <row r="111" spans="1:14" x14ac:dyDescent="0.25">
      <c r="A111">
        <v>5855</v>
      </c>
      <c r="B111" t="s">
        <v>34</v>
      </c>
      <c r="C111" t="s">
        <v>140</v>
      </c>
      <c r="D111" t="s">
        <v>14</v>
      </c>
      <c r="F111">
        <v>300</v>
      </c>
      <c r="J111">
        <v>300</v>
      </c>
      <c r="K111">
        <v>90</v>
      </c>
      <c r="L111">
        <v>90</v>
      </c>
      <c r="M111">
        <v>210</v>
      </c>
      <c r="N111">
        <v>210</v>
      </c>
    </row>
    <row r="112" spans="1:14" x14ac:dyDescent="0.25">
      <c r="A112">
        <v>5855</v>
      </c>
      <c r="B112" t="s">
        <v>141</v>
      </c>
      <c r="C112" t="s">
        <v>142</v>
      </c>
      <c r="D112" t="s">
        <v>14</v>
      </c>
      <c r="F112">
        <v>300</v>
      </c>
      <c r="J112">
        <v>300</v>
      </c>
      <c r="K112">
        <v>165</v>
      </c>
      <c r="L112">
        <v>90</v>
      </c>
      <c r="M112">
        <v>135</v>
      </c>
      <c r="N112">
        <v>135</v>
      </c>
    </row>
    <row r="113" spans="1:14" x14ac:dyDescent="0.25">
      <c r="A113">
        <v>5855</v>
      </c>
      <c r="B113" t="s">
        <v>60</v>
      </c>
      <c r="C113" t="s">
        <v>143</v>
      </c>
      <c r="D113" t="s">
        <v>14</v>
      </c>
      <c r="F113">
        <v>450</v>
      </c>
      <c r="J113">
        <v>450</v>
      </c>
      <c r="K113">
        <v>306</v>
      </c>
      <c r="L113">
        <v>216</v>
      </c>
      <c r="M113">
        <v>144</v>
      </c>
      <c r="N113">
        <v>129</v>
      </c>
    </row>
    <row r="114" spans="1:14" x14ac:dyDescent="0.25">
      <c r="A114">
        <v>5856</v>
      </c>
      <c r="B114" t="s">
        <v>34</v>
      </c>
      <c r="C114" t="s">
        <v>144</v>
      </c>
      <c r="D114" t="s">
        <v>14</v>
      </c>
      <c r="F114">
        <v>840</v>
      </c>
      <c r="J114">
        <v>840</v>
      </c>
      <c r="K114">
        <v>645</v>
      </c>
      <c r="L114">
        <v>435</v>
      </c>
      <c r="M114">
        <v>195</v>
      </c>
      <c r="N114">
        <v>195</v>
      </c>
    </row>
    <row r="115" spans="1:14" x14ac:dyDescent="0.25">
      <c r="A115">
        <v>5856</v>
      </c>
      <c r="B115" t="s">
        <v>37</v>
      </c>
      <c r="C115" t="s">
        <v>145</v>
      </c>
      <c r="D115" t="s">
        <v>14</v>
      </c>
      <c r="F115">
        <v>990</v>
      </c>
      <c r="J115">
        <v>990</v>
      </c>
      <c r="K115">
        <v>810</v>
      </c>
      <c r="L115">
        <v>555</v>
      </c>
      <c r="M115">
        <v>180</v>
      </c>
      <c r="N115">
        <v>180</v>
      </c>
    </row>
    <row r="116" spans="1:14" x14ac:dyDescent="0.25">
      <c r="A116">
        <v>5856</v>
      </c>
      <c r="B116" t="s">
        <v>60</v>
      </c>
      <c r="C116" t="s">
        <v>146</v>
      </c>
      <c r="D116" t="s">
        <v>14</v>
      </c>
      <c r="F116">
        <v>1335</v>
      </c>
      <c r="J116">
        <v>1335</v>
      </c>
      <c r="K116">
        <v>996</v>
      </c>
      <c r="L116">
        <v>741</v>
      </c>
      <c r="M116">
        <v>339</v>
      </c>
      <c r="N116">
        <v>339</v>
      </c>
    </row>
    <row r="117" spans="1:14" x14ac:dyDescent="0.25">
      <c r="A117">
        <v>5861</v>
      </c>
      <c r="B117" t="s">
        <v>34</v>
      </c>
      <c r="C117" t="s">
        <v>147</v>
      </c>
      <c r="D117" t="s">
        <v>14</v>
      </c>
      <c r="F117">
        <v>300</v>
      </c>
      <c r="J117">
        <v>300</v>
      </c>
      <c r="K117">
        <v>300</v>
      </c>
      <c r="L117">
        <v>180</v>
      </c>
      <c r="M117">
        <v>0</v>
      </c>
      <c r="N117">
        <v>0</v>
      </c>
    </row>
    <row r="118" spans="1:14" x14ac:dyDescent="0.25">
      <c r="A118">
        <v>5861</v>
      </c>
      <c r="B118" t="s">
        <v>48</v>
      </c>
      <c r="C118" t="s">
        <v>148</v>
      </c>
      <c r="D118" t="s">
        <v>14</v>
      </c>
      <c r="F118">
        <v>300</v>
      </c>
      <c r="J118">
        <v>300</v>
      </c>
      <c r="K118">
        <v>240</v>
      </c>
      <c r="L118">
        <v>120</v>
      </c>
      <c r="M118">
        <v>60</v>
      </c>
      <c r="N118">
        <v>60</v>
      </c>
    </row>
    <row r="119" spans="1:14" x14ac:dyDescent="0.25">
      <c r="A119">
        <v>5863</v>
      </c>
      <c r="B119" t="s">
        <v>17</v>
      </c>
      <c r="C119" t="s">
        <v>149</v>
      </c>
      <c r="D119" t="s">
        <v>14</v>
      </c>
      <c r="F119">
        <v>375</v>
      </c>
      <c r="J119">
        <v>375</v>
      </c>
      <c r="K119">
        <v>360</v>
      </c>
      <c r="L119">
        <v>255</v>
      </c>
      <c r="M119">
        <v>15</v>
      </c>
      <c r="N119">
        <v>15</v>
      </c>
    </row>
    <row r="120" spans="1:14" x14ac:dyDescent="0.25">
      <c r="A120">
        <v>5863</v>
      </c>
      <c r="B120" t="s">
        <v>34</v>
      </c>
      <c r="C120" t="s">
        <v>150</v>
      </c>
      <c r="D120" t="s">
        <v>14</v>
      </c>
      <c r="F120">
        <v>315</v>
      </c>
      <c r="J120">
        <v>315</v>
      </c>
      <c r="K120">
        <v>330</v>
      </c>
      <c r="L120">
        <v>210</v>
      </c>
      <c r="M120">
        <v>-15</v>
      </c>
      <c r="N120">
        <v>0</v>
      </c>
    </row>
    <row r="121" spans="1:14" x14ac:dyDescent="0.25">
      <c r="A121">
        <v>5863</v>
      </c>
      <c r="B121" t="s">
        <v>48</v>
      </c>
      <c r="C121" t="s">
        <v>151</v>
      </c>
      <c r="D121" t="s">
        <v>14</v>
      </c>
      <c r="F121">
        <v>165</v>
      </c>
      <c r="J121">
        <v>165</v>
      </c>
      <c r="K121">
        <v>165</v>
      </c>
      <c r="L121">
        <v>60</v>
      </c>
      <c r="M121">
        <v>0</v>
      </c>
      <c r="N121">
        <v>0</v>
      </c>
    </row>
    <row r="122" spans="1:14" x14ac:dyDescent="0.25">
      <c r="A122">
        <v>5863</v>
      </c>
      <c r="B122" t="s">
        <v>60</v>
      </c>
      <c r="C122" t="s">
        <v>152</v>
      </c>
      <c r="D122" t="s">
        <v>14</v>
      </c>
      <c r="F122">
        <v>270</v>
      </c>
      <c r="J122">
        <v>270</v>
      </c>
      <c r="K122">
        <v>285</v>
      </c>
      <c r="L122">
        <v>180</v>
      </c>
      <c r="M122">
        <v>-15</v>
      </c>
      <c r="N122">
        <v>0</v>
      </c>
    </row>
    <row r="123" spans="1:14" x14ac:dyDescent="0.25">
      <c r="A123">
        <v>5866</v>
      </c>
      <c r="B123" t="s">
        <v>17</v>
      </c>
      <c r="C123" t="s">
        <v>153</v>
      </c>
      <c r="D123" t="s">
        <v>14</v>
      </c>
      <c r="F123">
        <v>420</v>
      </c>
      <c r="J123">
        <v>420</v>
      </c>
      <c r="K123">
        <v>375</v>
      </c>
      <c r="L123">
        <v>255</v>
      </c>
      <c r="M123">
        <v>45</v>
      </c>
      <c r="N123">
        <v>45</v>
      </c>
    </row>
    <row r="124" spans="1:14" x14ac:dyDescent="0.25">
      <c r="A124">
        <v>5866</v>
      </c>
      <c r="B124" t="s">
        <v>34</v>
      </c>
      <c r="C124" t="s">
        <v>154</v>
      </c>
      <c r="D124" t="s">
        <v>14</v>
      </c>
      <c r="F124">
        <v>375</v>
      </c>
      <c r="J124">
        <v>375</v>
      </c>
      <c r="K124">
        <v>360</v>
      </c>
      <c r="L124">
        <v>255</v>
      </c>
      <c r="M124">
        <v>15</v>
      </c>
      <c r="N124">
        <v>15</v>
      </c>
    </row>
    <row r="125" spans="1:14" x14ac:dyDescent="0.25">
      <c r="A125">
        <v>5874</v>
      </c>
      <c r="B125" t="s">
        <v>12</v>
      </c>
      <c r="C125" t="s">
        <v>155</v>
      </c>
      <c r="D125" t="s">
        <v>14</v>
      </c>
      <c r="F125">
        <v>450</v>
      </c>
      <c r="J125">
        <v>450</v>
      </c>
      <c r="K125">
        <v>435</v>
      </c>
      <c r="L125">
        <v>315</v>
      </c>
      <c r="M125">
        <v>15</v>
      </c>
      <c r="N125">
        <v>15</v>
      </c>
    </row>
    <row r="126" spans="1:14" x14ac:dyDescent="0.25">
      <c r="A126">
        <v>5874</v>
      </c>
      <c r="B126" t="s">
        <v>17</v>
      </c>
      <c r="C126" t="s">
        <v>156</v>
      </c>
      <c r="D126" t="s">
        <v>14</v>
      </c>
      <c r="F126">
        <v>360</v>
      </c>
      <c r="J126">
        <v>360</v>
      </c>
      <c r="K126">
        <v>210</v>
      </c>
      <c r="L126">
        <v>120</v>
      </c>
      <c r="M126">
        <v>150</v>
      </c>
      <c r="N126">
        <v>165</v>
      </c>
    </row>
    <row r="127" spans="1:14" x14ac:dyDescent="0.25">
      <c r="A127">
        <v>5874</v>
      </c>
      <c r="B127" t="s">
        <v>48</v>
      </c>
      <c r="C127" t="s">
        <v>157</v>
      </c>
      <c r="D127" t="s">
        <v>14</v>
      </c>
      <c r="F127">
        <v>450</v>
      </c>
      <c r="J127">
        <v>450</v>
      </c>
      <c r="K127">
        <v>225</v>
      </c>
      <c r="L127">
        <v>135</v>
      </c>
      <c r="M127">
        <v>225</v>
      </c>
      <c r="N127">
        <v>225</v>
      </c>
    </row>
    <row r="128" spans="1:14" x14ac:dyDescent="0.25">
      <c r="A128">
        <v>5876</v>
      </c>
      <c r="B128" t="s">
        <v>12</v>
      </c>
      <c r="C128" t="s">
        <v>158</v>
      </c>
      <c r="D128" t="s">
        <v>14</v>
      </c>
      <c r="F128">
        <v>420</v>
      </c>
      <c r="J128">
        <v>420</v>
      </c>
      <c r="K128">
        <v>480</v>
      </c>
      <c r="L128">
        <v>300</v>
      </c>
      <c r="M128">
        <v>-60</v>
      </c>
      <c r="N128">
        <v>0</v>
      </c>
    </row>
    <row r="129" spans="1:14" x14ac:dyDescent="0.25">
      <c r="A129">
        <v>5876</v>
      </c>
      <c r="B129" t="s">
        <v>17</v>
      </c>
      <c r="C129" t="s">
        <v>159</v>
      </c>
      <c r="D129" t="s">
        <v>14</v>
      </c>
      <c r="F129">
        <v>855</v>
      </c>
      <c r="J129">
        <v>855</v>
      </c>
      <c r="K129">
        <v>885</v>
      </c>
      <c r="L129">
        <v>705</v>
      </c>
      <c r="M129">
        <v>-30</v>
      </c>
      <c r="N129">
        <v>0</v>
      </c>
    </row>
    <row r="130" spans="1:14" x14ac:dyDescent="0.25">
      <c r="A130">
        <v>5876</v>
      </c>
      <c r="B130" t="s">
        <v>75</v>
      </c>
      <c r="C130" t="s">
        <v>160</v>
      </c>
      <c r="D130" t="s">
        <v>14</v>
      </c>
      <c r="F130">
        <v>600</v>
      </c>
      <c r="J130">
        <v>600</v>
      </c>
      <c r="K130">
        <v>576</v>
      </c>
      <c r="L130">
        <v>411</v>
      </c>
      <c r="M130">
        <v>24</v>
      </c>
      <c r="N130">
        <v>24</v>
      </c>
    </row>
    <row r="131" spans="1:14" x14ac:dyDescent="0.25">
      <c r="A131">
        <v>5877</v>
      </c>
      <c r="B131" t="s">
        <v>12</v>
      </c>
      <c r="C131" t="s">
        <v>161</v>
      </c>
      <c r="D131" t="s">
        <v>14</v>
      </c>
      <c r="F131">
        <v>360</v>
      </c>
      <c r="J131">
        <v>360</v>
      </c>
      <c r="K131">
        <v>255</v>
      </c>
      <c r="L131">
        <v>135</v>
      </c>
      <c r="M131">
        <v>105</v>
      </c>
      <c r="N131">
        <v>105</v>
      </c>
    </row>
    <row r="132" spans="1:14" x14ac:dyDescent="0.25">
      <c r="A132">
        <v>5877</v>
      </c>
      <c r="B132" t="s">
        <v>17</v>
      </c>
      <c r="C132" t="s">
        <v>162</v>
      </c>
      <c r="D132" t="s">
        <v>14</v>
      </c>
      <c r="F132">
        <v>450</v>
      </c>
      <c r="J132">
        <v>450</v>
      </c>
      <c r="K132">
        <v>255</v>
      </c>
      <c r="L132">
        <v>135</v>
      </c>
      <c r="M132">
        <v>195</v>
      </c>
      <c r="N132">
        <v>195</v>
      </c>
    </row>
    <row r="133" spans="1:14" x14ac:dyDescent="0.25">
      <c r="A133">
        <v>5877</v>
      </c>
      <c r="B133" t="s">
        <v>52</v>
      </c>
      <c r="C133" t="s">
        <v>163</v>
      </c>
      <c r="D133" t="s">
        <v>14</v>
      </c>
      <c r="F133">
        <v>360</v>
      </c>
      <c r="J133">
        <v>360</v>
      </c>
      <c r="K133">
        <v>180</v>
      </c>
      <c r="L133">
        <v>75</v>
      </c>
      <c r="M133">
        <v>180</v>
      </c>
      <c r="N133">
        <v>180</v>
      </c>
    </row>
    <row r="134" spans="1:14" x14ac:dyDescent="0.25">
      <c r="A134">
        <v>5880</v>
      </c>
      <c r="B134" t="s">
        <v>12</v>
      </c>
      <c r="C134" t="s">
        <v>164</v>
      </c>
      <c r="D134" t="s">
        <v>14</v>
      </c>
      <c r="F134">
        <v>360</v>
      </c>
      <c r="J134">
        <v>360</v>
      </c>
      <c r="K134">
        <v>390</v>
      </c>
      <c r="L134">
        <v>270</v>
      </c>
      <c r="M134">
        <v>-30</v>
      </c>
      <c r="N134">
        <v>0</v>
      </c>
    </row>
    <row r="135" spans="1:14" x14ac:dyDescent="0.25">
      <c r="A135">
        <v>5880</v>
      </c>
      <c r="B135" t="s">
        <v>17</v>
      </c>
      <c r="C135" t="s">
        <v>165</v>
      </c>
      <c r="D135" t="s">
        <v>14</v>
      </c>
      <c r="F135">
        <v>570</v>
      </c>
      <c r="J135">
        <v>570</v>
      </c>
      <c r="K135">
        <v>555</v>
      </c>
      <c r="L135">
        <v>405</v>
      </c>
      <c r="M135">
        <v>15</v>
      </c>
      <c r="N135">
        <v>30</v>
      </c>
    </row>
    <row r="136" spans="1:14" x14ac:dyDescent="0.25">
      <c r="A136">
        <v>5880</v>
      </c>
      <c r="B136" t="s">
        <v>34</v>
      </c>
      <c r="C136" t="s">
        <v>166</v>
      </c>
      <c r="D136" t="s">
        <v>14</v>
      </c>
      <c r="F136">
        <v>300</v>
      </c>
      <c r="J136">
        <v>300</v>
      </c>
      <c r="K136">
        <v>300</v>
      </c>
      <c r="L136">
        <v>165</v>
      </c>
      <c r="M136">
        <v>0</v>
      </c>
      <c r="N136">
        <v>0</v>
      </c>
    </row>
    <row r="137" spans="1:14" x14ac:dyDescent="0.25">
      <c r="A137">
        <v>5881</v>
      </c>
      <c r="B137" t="s">
        <v>60</v>
      </c>
      <c r="C137" t="s">
        <v>167</v>
      </c>
      <c r="D137" t="s">
        <v>14</v>
      </c>
      <c r="F137">
        <v>600</v>
      </c>
      <c r="J137">
        <v>600</v>
      </c>
      <c r="K137">
        <v>360</v>
      </c>
      <c r="L137">
        <v>270</v>
      </c>
      <c r="M137">
        <v>240</v>
      </c>
      <c r="N137">
        <v>240</v>
      </c>
    </row>
    <row r="138" spans="1:14" x14ac:dyDescent="0.25">
      <c r="A138">
        <v>5881</v>
      </c>
      <c r="B138" t="s">
        <v>22</v>
      </c>
      <c r="C138" t="s">
        <v>168</v>
      </c>
      <c r="D138" t="s">
        <v>14</v>
      </c>
      <c r="F138">
        <v>810</v>
      </c>
      <c r="J138">
        <v>810</v>
      </c>
      <c r="K138">
        <v>570</v>
      </c>
      <c r="L138">
        <v>465</v>
      </c>
      <c r="M138">
        <v>240</v>
      </c>
      <c r="N138">
        <v>225</v>
      </c>
    </row>
    <row r="139" spans="1:14" x14ac:dyDescent="0.25">
      <c r="A139">
        <v>5981</v>
      </c>
      <c r="B139" t="s">
        <v>17</v>
      </c>
      <c r="C139" t="s">
        <v>169</v>
      </c>
      <c r="D139" t="s">
        <v>14</v>
      </c>
      <c r="F139">
        <v>450</v>
      </c>
      <c r="J139">
        <v>450</v>
      </c>
      <c r="K139">
        <v>300</v>
      </c>
      <c r="L139">
        <v>240</v>
      </c>
      <c r="M139">
        <v>150</v>
      </c>
      <c r="N139">
        <v>150</v>
      </c>
    </row>
    <row r="140" spans="1:14" x14ac:dyDescent="0.25">
      <c r="A140">
        <v>5981</v>
      </c>
      <c r="B140" t="s">
        <v>22</v>
      </c>
      <c r="C140" t="s">
        <v>170</v>
      </c>
      <c r="D140" t="s">
        <v>14</v>
      </c>
      <c r="F140">
        <v>450</v>
      </c>
      <c r="J140">
        <v>450</v>
      </c>
      <c r="K140">
        <v>285</v>
      </c>
      <c r="L140">
        <v>210</v>
      </c>
      <c r="M140">
        <v>165</v>
      </c>
      <c r="N140">
        <v>165</v>
      </c>
    </row>
    <row r="141" spans="1:14" x14ac:dyDescent="0.25">
      <c r="A141">
        <v>6520</v>
      </c>
      <c r="B141" t="s">
        <v>171</v>
      </c>
      <c r="C141" t="s">
        <v>172</v>
      </c>
      <c r="D141" t="s">
        <v>14</v>
      </c>
      <c r="F141">
        <v>1008</v>
      </c>
      <c r="J141">
        <v>1008</v>
      </c>
      <c r="K141">
        <v>648</v>
      </c>
      <c r="L141">
        <v>432</v>
      </c>
      <c r="M141">
        <v>360</v>
      </c>
      <c r="N141">
        <v>360</v>
      </c>
    </row>
    <row r="142" spans="1:14" x14ac:dyDescent="0.25">
      <c r="A142">
        <v>6521</v>
      </c>
      <c r="B142" t="s">
        <v>171</v>
      </c>
      <c r="C142" t="s">
        <v>173</v>
      </c>
      <c r="D142" t="s">
        <v>14</v>
      </c>
      <c r="F142">
        <v>1800</v>
      </c>
      <c r="J142">
        <v>1800</v>
      </c>
      <c r="K142">
        <v>1224</v>
      </c>
      <c r="L142">
        <v>612</v>
      </c>
      <c r="M142">
        <v>576</v>
      </c>
      <c r="N142">
        <v>576</v>
      </c>
    </row>
    <row r="143" spans="1:14" x14ac:dyDescent="0.25">
      <c r="A143">
        <v>6522</v>
      </c>
      <c r="B143" t="s">
        <v>171</v>
      </c>
      <c r="C143" t="s">
        <v>174</v>
      </c>
      <c r="D143" t="s">
        <v>14</v>
      </c>
      <c r="F143">
        <v>1080</v>
      </c>
      <c r="J143">
        <v>1080</v>
      </c>
      <c r="K143">
        <v>720</v>
      </c>
      <c r="L143">
        <v>360</v>
      </c>
      <c r="M143">
        <v>360</v>
      </c>
      <c r="N143">
        <v>360</v>
      </c>
    </row>
    <row r="144" spans="1:14" x14ac:dyDescent="0.25">
      <c r="A144">
        <v>9485</v>
      </c>
      <c r="B144" t="s">
        <v>17</v>
      </c>
      <c r="C144" t="s">
        <v>175</v>
      </c>
      <c r="D144" t="s">
        <v>14</v>
      </c>
      <c r="F144">
        <v>180</v>
      </c>
      <c r="J144">
        <v>180</v>
      </c>
      <c r="K144">
        <v>180</v>
      </c>
      <c r="L144">
        <v>90</v>
      </c>
      <c r="M144">
        <v>0</v>
      </c>
      <c r="N144">
        <v>0</v>
      </c>
    </row>
    <row r="145" spans="1:14" x14ac:dyDescent="0.25">
      <c r="A145">
        <v>9485</v>
      </c>
      <c r="B145" t="s">
        <v>37</v>
      </c>
      <c r="C145" t="s">
        <v>176</v>
      </c>
      <c r="D145" t="s">
        <v>14</v>
      </c>
      <c r="F145">
        <v>540</v>
      </c>
      <c r="J145">
        <v>540</v>
      </c>
      <c r="K145">
        <v>405</v>
      </c>
      <c r="L145">
        <v>285</v>
      </c>
      <c r="M145">
        <v>135</v>
      </c>
      <c r="N145">
        <v>135</v>
      </c>
    </row>
    <row r="146" spans="1:14" x14ac:dyDescent="0.25">
      <c r="A146">
        <v>9485</v>
      </c>
      <c r="B146" t="s">
        <v>177</v>
      </c>
      <c r="C146" t="s">
        <v>178</v>
      </c>
      <c r="D146" t="s">
        <v>14</v>
      </c>
      <c r="F146">
        <v>285</v>
      </c>
      <c r="J146">
        <v>285</v>
      </c>
      <c r="K146">
        <v>270</v>
      </c>
      <c r="L146">
        <v>165</v>
      </c>
      <c r="M146">
        <v>15</v>
      </c>
      <c r="N146">
        <v>15</v>
      </c>
    </row>
    <row r="147" spans="1:14" x14ac:dyDescent="0.25">
      <c r="A147">
        <v>9513</v>
      </c>
      <c r="B147" t="s">
        <v>91</v>
      </c>
      <c r="C147" t="s">
        <v>179</v>
      </c>
      <c r="D147" t="s">
        <v>14</v>
      </c>
      <c r="F147">
        <v>405</v>
      </c>
      <c r="J147">
        <v>405</v>
      </c>
      <c r="K147">
        <v>330</v>
      </c>
      <c r="L147">
        <v>210</v>
      </c>
      <c r="M147">
        <v>75</v>
      </c>
      <c r="N147">
        <v>75</v>
      </c>
    </row>
    <row r="148" spans="1:14" x14ac:dyDescent="0.25">
      <c r="A148">
        <v>9520</v>
      </c>
      <c r="B148" t="s">
        <v>91</v>
      </c>
      <c r="C148" t="s">
        <v>180</v>
      </c>
      <c r="D148" t="s">
        <v>14</v>
      </c>
      <c r="F148">
        <v>300</v>
      </c>
      <c r="J148">
        <v>300</v>
      </c>
      <c r="K148">
        <v>165</v>
      </c>
      <c r="L148">
        <v>60</v>
      </c>
      <c r="M148">
        <v>135</v>
      </c>
      <c r="N148">
        <v>135</v>
      </c>
    </row>
    <row r="149" spans="1:14" x14ac:dyDescent="0.25">
      <c r="A149">
        <v>9543</v>
      </c>
      <c r="B149" t="s">
        <v>91</v>
      </c>
      <c r="C149" t="s">
        <v>181</v>
      </c>
      <c r="D149" t="s">
        <v>14</v>
      </c>
      <c r="F149">
        <v>510</v>
      </c>
      <c r="G149">
        <v>300</v>
      </c>
      <c r="J149">
        <v>810</v>
      </c>
      <c r="K149">
        <v>555</v>
      </c>
      <c r="L149">
        <v>435</v>
      </c>
      <c r="M149">
        <v>255</v>
      </c>
      <c r="N149">
        <v>255</v>
      </c>
    </row>
    <row r="150" spans="1:14" x14ac:dyDescent="0.25">
      <c r="A150">
        <v>9543</v>
      </c>
      <c r="B150" t="s">
        <v>37</v>
      </c>
      <c r="C150" t="s">
        <v>182</v>
      </c>
      <c r="D150" t="s">
        <v>14</v>
      </c>
      <c r="F150">
        <v>210</v>
      </c>
      <c r="J150">
        <v>210</v>
      </c>
      <c r="K150">
        <v>135</v>
      </c>
      <c r="L150">
        <v>60</v>
      </c>
      <c r="M150">
        <v>75</v>
      </c>
      <c r="N150">
        <v>75</v>
      </c>
    </row>
    <row r="151" spans="1:14" x14ac:dyDescent="0.25">
      <c r="A151">
        <v>9551</v>
      </c>
      <c r="B151" t="s">
        <v>17</v>
      </c>
      <c r="C151" t="s">
        <v>183</v>
      </c>
      <c r="D151" t="s">
        <v>14</v>
      </c>
      <c r="F151">
        <v>1005</v>
      </c>
      <c r="J151">
        <v>1005</v>
      </c>
      <c r="K151">
        <v>615</v>
      </c>
      <c r="L151">
        <v>435</v>
      </c>
      <c r="M151">
        <v>390</v>
      </c>
      <c r="N151">
        <v>390</v>
      </c>
    </row>
    <row r="152" spans="1:14" x14ac:dyDescent="0.25">
      <c r="A152">
        <v>9551</v>
      </c>
      <c r="B152" t="s">
        <v>37</v>
      </c>
      <c r="C152" t="s">
        <v>184</v>
      </c>
      <c r="D152" t="s">
        <v>14</v>
      </c>
      <c r="F152">
        <v>600</v>
      </c>
      <c r="J152">
        <v>600</v>
      </c>
      <c r="K152">
        <v>225</v>
      </c>
      <c r="L152">
        <v>135</v>
      </c>
      <c r="M152">
        <v>375</v>
      </c>
      <c r="N152">
        <v>375</v>
      </c>
    </row>
    <row r="153" spans="1:14" x14ac:dyDescent="0.25">
      <c r="A153">
        <v>9606</v>
      </c>
      <c r="B153" t="s">
        <v>34</v>
      </c>
      <c r="C153" t="s">
        <v>185</v>
      </c>
      <c r="D153" t="s">
        <v>14</v>
      </c>
      <c r="F153">
        <v>525</v>
      </c>
      <c r="J153">
        <v>525</v>
      </c>
      <c r="K153">
        <v>420</v>
      </c>
      <c r="L153">
        <v>330</v>
      </c>
      <c r="M153">
        <v>105</v>
      </c>
      <c r="N153">
        <v>105</v>
      </c>
    </row>
    <row r="154" spans="1:14" x14ac:dyDescent="0.25">
      <c r="A154">
        <v>9606</v>
      </c>
      <c r="B154" t="s">
        <v>37</v>
      </c>
      <c r="C154" t="s">
        <v>186</v>
      </c>
      <c r="D154" t="s">
        <v>14</v>
      </c>
      <c r="F154">
        <v>615</v>
      </c>
      <c r="J154">
        <v>615</v>
      </c>
      <c r="K154">
        <v>600</v>
      </c>
      <c r="L154">
        <v>450</v>
      </c>
      <c r="M154">
        <v>15</v>
      </c>
      <c r="N154">
        <v>15</v>
      </c>
    </row>
    <row r="155" spans="1:14" x14ac:dyDescent="0.25">
      <c r="A155">
        <v>9606</v>
      </c>
      <c r="B155" t="s">
        <v>60</v>
      </c>
      <c r="C155" t="s">
        <v>187</v>
      </c>
      <c r="D155" t="s">
        <v>14</v>
      </c>
      <c r="F155">
        <v>300</v>
      </c>
      <c r="J155">
        <v>300</v>
      </c>
      <c r="K155">
        <v>270</v>
      </c>
      <c r="L155">
        <v>180</v>
      </c>
      <c r="M155">
        <v>30</v>
      </c>
      <c r="N155">
        <v>30</v>
      </c>
    </row>
    <row r="156" spans="1:14" x14ac:dyDescent="0.25">
      <c r="A156">
        <v>9885</v>
      </c>
      <c r="B156" t="s">
        <v>17</v>
      </c>
      <c r="C156" t="s">
        <v>188</v>
      </c>
      <c r="D156" t="s">
        <v>16</v>
      </c>
      <c r="F156">
        <v>300</v>
      </c>
      <c r="J156">
        <v>300</v>
      </c>
      <c r="K156">
        <v>315</v>
      </c>
      <c r="L156">
        <v>225</v>
      </c>
      <c r="M156">
        <v>-15</v>
      </c>
      <c r="N156">
        <v>0</v>
      </c>
    </row>
    <row r="157" spans="1:14" x14ac:dyDescent="0.25">
      <c r="A157">
        <v>9885</v>
      </c>
      <c r="B157" t="s">
        <v>34</v>
      </c>
      <c r="C157" t="s">
        <v>189</v>
      </c>
      <c r="D157" t="s">
        <v>16</v>
      </c>
      <c r="F157">
        <v>540</v>
      </c>
      <c r="J157">
        <v>540</v>
      </c>
      <c r="K157">
        <v>540</v>
      </c>
      <c r="L157">
        <v>390</v>
      </c>
      <c r="M157">
        <v>0</v>
      </c>
      <c r="N157">
        <v>0</v>
      </c>
    </row>
    <row r="158" spans="1:14" x14ac:dyDescent="0.25">
      <c r="A158">
        <v>9885</v>
      </c>
      <c r="B158" t="s">
        <v>48</v>
      </c>
      <c r="C158" t="s">
        <v>190</v>
      </c>
      <c r="D158" t="s">
        <v>16</v>
      </c>
      <c r="F158">
        <v>840</v>
      </c>
      <c r="J158">
        <v>840</v>
      </c>
      <c r="K158">
        <v>780</v>
      </c>
      <c r="L158">
        <v>585</v>
      </c>
      <c r="M158">
        <v>60</v>
      </c>
      <c r="N158">
        <v>60</v>
      </c>
    </row>
    <row r="159" spans="1:14" x14ac:dyDescent="0.25">
      <c r="A159">
        <v>9920</v>
      </c>
      <c r="B159" t="s">
        <v>34</v>
      </c>
      <c r="C159" t="s">
        <v>191</v>
      </c>
      <c r="D159" t="s">
        <v>14</v>
      </c>
      <c r="F159">
        <v>510</v>
      </c>
      <c r="J159">
        <v>510</v>
      </c>
      <c r="K159">
        <v>540</v>
      </c>
      <c r="L159">
        <v>435</v>
      </c>
      <c r="M159">
        <v>-30</v>
      </c>
      <c r="N159">
        <v>0</v>
      </c>
    </row>
    <row r="160" spans="1:14" x14ac:dyDescent="0.25">
      <c r="A160">
        <v>9920</v>
      </c>
      <c r="B160" t="s">
        <v>60</v>
      </c>
      <c r="C160" t="s">
        <v>192</v>
      </c>
      <c r="D160" t="s">
        <v>14</v>
      </c>
      <c r="F160">
        <v>510</v>
      </c>
      <c r="J160">
        <v>510</v>
      </c>
      <c r="K160">
        <v>450</v>
      </c>
      <c r="L160">
        <v>360</v>
      </c>
      <c r="M160">
        <v>60</v>
      </c>
      <c r="N160">
        <v>75</v>
      </c>
    </row>
    <row r="161" spans="1:14" x14ac:dyDescent="0.25">
      <c r="A161">
        <v>9922</v>
      </c>
      <c r="B161" t="s">
        <v>34</v>
      </c>
      <c r="C161" t="s">
        <v>193</v>
      </c>
      <c r="D161" t="s">
        <v>14</v>
      </c>
      <c r="F161">
        <v>480</v>
      </c>
      <c r="J161">
        <v>480</v>
      </c>
      <c r="K161">
        <v>255</v>
      </c>
      <c r="L161">
        <v>180</v>
      </c>
      <c r="M161">
        <v>225</v>
      </c>
      <c r="N161">
        <v>225</v>
      </c>
    </row>
    <row r="162" spans="1:14" x14ac:dyDescent="0.25">
      <c r="A162">
        <v>9922</v>
      </c>
      <c r="B162" t="s">
        <v>37</v>
      </c>
      <c r="C162" t="s">
        <v>194</v>
      </c>
      <c r="D162" t="s">
        <v>14</v>
      </c>
      <c r="F162">
        <v>150</v>
      </c>
      <c r="J162">
        <v>150</v>
      </c>
      <c r="K162">
        <v>75</v>
      </c>
      <c r="L162">
        <v>75</v>
      </c>
      <c r="M162">
        <v>75</v>
      </c>
      <c r="N162">
        <v>75</v>
      </c>
    </row>
    <row r="163" spans="1:14" x14ac:dyDescent="0.25">
      <c r="A163">
        <v>9922</v>
      </c>
      <c r="B163" t="s">
        <v>48</v>
      </c>
      <c r="C163" t="s">
        <v>195</v>
      </c>
      <c r="D163" t="s">
        <v>14</v>
      </c>
      <c r="F163">
        <v>225</v>
      </c>
      <c r="J163">
        <v>225</v>
      </c>
      <c r="K163">
        <v>120</v>
      </c>
      <c r="L163">
        <v>60</v>
      </c>
      <c r="M163">
        <v>105</v>
      </c>
      <c r="N163">
        <v>105</v>
      </c>
    </row>
    <row r="164" spans="1:14" x14ac:dyDescent="0.25">
      <c r="A164">
        <v>9923</v>
      </c>
      <c r="B164" t="s">
        <v>17</v>
      </c>
      <c r="C164" t="s">
        <v>196</v>
      </c>
      <c r="D164" t="s">
        <v>14</v>
      </c>
      <c r="F164">
        <v>300</v>
      </c>
      <c r="J164">
        <v>300</v>
      </c>
      <c r="K164">
        <v>240</v>
      </c>
      <c r="L164">
        <v>135</v>
      </c>
      <c r="M164">
        <v>60</v>
      </c>
      <c r="N164">
        <v>60</v>
      </c>
    </row>
    <row r="165" spans="1:14" x14ac:dyDescent="0.25">
      <c r="A165">
        <v>9923</v>
      </c>
      <c r="B165" t="s">
        <v>34</v>
      </c>
      <c r="C165" t="s">
        <v>197</v>
      </c>
      <c r="D165" t="s">
        <v>14</v>
      </c>
      <c r="F165">
        <v>300</v>
      </c>
      <c r="J165">
        <v>300</v>
      </c>
      <c r="K165">
        <v>165</v>
      </c>
      <c r="L165">
        <v>75</v>
      </c>
      <c r="M165">
        <v>135</v>
      </c>
      <c r="N165">
        <v>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93BE6-3EFB-430B-B8CC-717E407757FF}">
  <dimension ref="A1:M188"/>
  <sheetViews>
    <sheetView workbookViewId="0">
      <selection activeCell="A6" sqref="A1:M188"/>
    </sheetView>
  </sheetViews>
  <sheetFormatPr baseColWidth="10" defaultRowHeight="15" x14ac:dyDescent="0.25"/>
  <sheetData>
    <row r="1" spans="1:13" x14ac:dyDescent="0.25">
      <c r="A1" t="s">
        <v>7</v>
      </c>
      <c r="B1" t="s">
        <v>8</v>
      </c>
      <c r="C1" t="s">
        <v>9</v>
      </c>
      <c r="D1" t="s">
        <v>10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215</v>
      </c>
      <c r="M1" t="s">
        <v>11</v>
      </c>
    </row>
    <row r="2" spans="1:13" x14ac:dyDescent="0.25">
      <c r="A2">
        <v>2026</v>
      </c>
      <c r="B2" t="s">
        <v>60</v>
      </c>
      <c r="C2" t="s">
        <v>216</v>
      </c>
      <c r="D2" t="s">
        <v>217</v>
      </c>
      <c r="E2">
        <v>0</v>
      </c>
      <c r="F2">
        <v>0</v>
      </c>
      <c r="H2">
        <v>0</v>
      </c>
      <c r="I2">
        <v>0</v>
      </c>
      <c r="J2" t="s">
        <v>209</v>
      </c>
      <c r="K2">
        <v>0</v>
      </c>
      <c r="L2">
        <v>0</v>
      </c>
      <c r="M2">
        <v>0</v>
      </c>
    </row>
    <row r="3" spans="1:13" x14ac:dyDescent="0.25">
      <c r="A3">
        <v>1818</v>
      </c>
      <c r="B3" t="s">
        <v>12</v>
      </c>
      <c r="C3" t="s">
        <v>218</v>
      </c>
      <c r="D3" t="s">
        <v>14</v>
      </c>
      <c r="F3">
        <v>0</v>
      </c>
      <c r="H3">
        <v>0</v>
      </c>
      <c r="I3">
        <v>0</v>
      </c>
      <c r="J3" t="s">
        <v>209</v>
      </c>
      <c r="K3">
        <v>0</v>
      </c>
      <c r="L3">
        <v>0</v>
      </c>
      <c r="M3">
        <v>0</v>
      </c>
    </row>
    <row r="4" spans="1:13" x14ac:dyDescent="0.25">
      <c r="A4">
        <v>1818</v>
      </c>
      <c r="B4" t="s">
        <v>34</v>
      </c>
      <c r="C4" t="s">
        <v>219</v>
      </c>
      <c r="D4" t="s">
        <v>14</v>
      </c>
      <c r="F4">
        <v>615</v>
      </c>
      <c r="H4">
        <v>615</v>
      </c>
      <c r="I4">
        <v>720</v>
      </c>
      <c r="J4">
        <v>585</v>
      </c>
      <c r="K4">
        <v>-105</v>
      </c>
      <c r="L4">
        <v>0</v>
      </c>
      <c r="M4">
        <v>30</v>
      </c>
    </row>
    <row r="5" spans="1:13" x14ac:dyDescent="0.25">
      <c r="A5">
        <v>1818</v>
      </c>
      <c r="B5" t="s">
        <v>26</v>
      </c>
      <c r="C5" t="s">
        <v>220</v>
      </c>
      <c r="D5" t="s">
        <v>14</v>
      </c>
      <c r="F5">
        <v>555</v>
      </c>
      <c r="H5">
        <v>555</v>
      </c>
      <c r="I5">
        <v>705</v>
      </c>
      <c r="J5">
        <v>555</v>
      </c>
      <c r="K5">
        <v>-150</v>
      </c>
      <c r="L5">
        <v>0</v>
      </c>
      <c r="M5">
        <v>0</v>
      </c>
    </row>
    <row r="6" spans="1:13" x14ac:dyDescent="0.25">
      <c r="A6">
        <v>1819</v>
      </c>
      <c r="B6" t="s">
        <v>12</v>
      </c>
      <c r="C6" t="s">
        <v>221</v>
      </c>
      <c r="D6" t="s">
        <v>14</v>
      </c>
      <c r="F6">
        <v>0</v>
      </c>
      <c r="H6">
        <v>0</v>
      </c>
      <c r="I6">
        <v>0</v>
      </c>
      <c r="J6" t="s">
        <v>209</v>
      </c>
      <c r="K6">
        <v>0</v>
      </c>
      <c r="L6">
        <v>0</v>
      </c>
      <c r="M6">
        <v>0</v>
      </c>
    </row>
    <row r="7" spans="1:13" x14ac:dyDescent="0.25">
      <c r="A7">
        <v>1819</v>
      </c>
      <c r="B7" t="s">
        <v>12</v>
      </c>
      <c r="C7" t="s">
        <v>222</v>
      </c>
      <c r="D7" t="s">
        <v>16</v>
      </c>
      <c r="F7">
        <v>0</v>
      </c>
      <c r="H7">
        <v>0</v>
      </c>
      <c r="I7">
        <v>0</v>
      </c>
      <c r="J7" t="s">
        <v>209</v>
      </c>
      <c r="K7">
        <v>0</v>
      </c>
      <c r="L7">
        <v>0</v>
      </c>
      <c r="M7">
        <v>0</v>
      </c>
    </row>
    <row r="8" spans="1:13" x14ac:dyDescent="0.25">
      <c r="A8">
        <v>1819</v>
      </c>
      <c r="B8" t="s">
        <v>12</v>
      </c>
      <c r="C8" t="s">
        <v>223</v>
      </c>
      <c r="D8" t="s">
        <v>224</v>
      </c>
      <c r="F8">
        <v>0</v>
      </c>
      <c r="H8">
        <v>0</v>
      </c>
      <c r="I8">
        <v>0</v>
      </c>
      <c r="J8" t="s">
        <v>209</v>
      </c>
      <c r="K8">
        <v>0</v>
      </c>
      <c r="L8">
        <v>0</v>
      </c>
      <c r="M8">
        <v>0</v>
      </c>
    </row>
    <row r="9" spans="1:13" x14ac:dyDescent="0.25">
      <c r="A9">
        <v>1819</v>
      </c>
      <c r="B9" t="s">
        <v>17</v>
      </c>
      <c r="C9" t="s">
        <v>225</v>
      </c>
      <c r="D9" t="s">
        <v>14</v>
      </c>
      <c r="F9">
        <v>84</v>
      </c>
      <c r="H9">
        <v>84</v>
      </c>
      <c r="I9">
        <v>120</v>
      </c>
      <c r="J9">
        <v>120</v>
      </c>
      <c r="K9">
        <v>-36</v>
      </c>
      <c r="L9">
        <v>0</v>
      </c>
      <c r="M9">
        <v>36</v>
      </c>
    </row>
    <row r="10" spans="1:13" x14ac:dyDescent="0.25">
      <c r="A10">
        <v>1819</v>
      </c>
      <c r="B10" t="s">
        <v>17</v>
      </c>
      <c r="C10" t="s">
        <v>226</v>
      </c>
      <c r="D10" t="s">
        <v>16</v>
      </c>
      <c r="F10">
        <v>216</v>
      </c>
      <c r="H10">
        <v>216</v>
      </c>
      <c r="I10">
        <v>216</v>
      </c>
      <c r="J10">
        <v>156</v>
      </c>
      <c r="K10">
        <v>0</v>
      </c>
      <c r="L10">
        <v>0</v>
      </c>
      <c r="M10">
        <v>132</v>
      </c>
    </row>
    <row r="11" spans="1:13" x14ac:dyDescent="0.25">
      <c r="A11">
        <v>1819</v>
      </c>
      <c r="B11" t="s">
        <v>17</v>
      </c>
      <c r="C11" t="s">
        <v>227</v>
      </c>
      <c r="D11" t="s">
        <v>224</v>
      </c>
      <c r="F11">
        <v>204</v>
      </c>
      <c r="H11">
        <v>204</v>
      </c>
      <c r="I11">
        <v>204</v>
      </c>
      <c r="J11">
        <v>132</v>
      </c>
      <c r="K11">
        <v>0</v>
      </c>
      <c r="L11">
        <v>0</v>
      </c>
      <c r="M11">
        <v>144</v>
      </c>
    </row>
    <row r="12" spans="1:13" x14ac:dyDescent="0.25">
      <c r="A12">
        <v>1819</v>
      </c>
      <c r="B12" t="s">
        <v>37</v>
      </c>
      <c r="C12" t="s">
        <v>228</v>
      </c>
      <c r="D12" t="s">
        <v>14</v>
      </c>
      <c r="F12">
        <v>228</v>
      </c>
      <c r="H12">
        <v>228</v>
      </c>
      <c r="I12">
        <v>264</v>
      </c>
      <c r="J12">
        <v>95</v>
      </c>
      <c r="K12">
        <v>-36</v>
      </c>
      <c r="L12">
        <v>0</v>
      </c>
      <c r="M12">
        <v>0</v>
      </c>
    </row>
    <row r="13" spans="1:13" x14ac:dyDescent="0.25">
      <c r="A13">
        <v>1819</v>
      </c>
      <c r="B13" t="s">
        <v>37</v>
      </c>
      <c r="C13" t="s">
        <v>229</v>
      </c>
      <c r="D13" t="s">
        <v>16</v>
      </c>
      <c r="F13">
        <v>360</v>
      </c>
      <c r="H13">
        <v>360</v>
      </c>
      <c r="I13">
        <v>360</v>
      </c>
      <c r="J13">
        <v>180</v>
      </c>
      <c r="K13">
        <v>0</v>
      </c>
      <c r="L13">
        <v>0</v>
      </c>
      <c r="M13">
        <v>24</v>
      </c>
    </row>
    <row r="14" spans="1:13" x14ac:dyDescent="0.25">
      <c r="A14">
        <v>1819</v>
      </c>
      <c r="B14" t="s">
        <v>37</v>
      </c>
      <c r="C14" t="s">
        <v>230</v>
      </c>
      <c r="D14" t="s">
        <v>224</v>
      </c>
      <c r="F14">
        <v>324</v>
      </c>
      <c r="H14">
        <v>324</v>
      </c>
      <c r="I14">
        <v>300</v>
      </c>
      <c r="J14">
        <v>180</v>
      </c>
      <c r="K14">
        <v>24</v>
      </c>
      <c r="L14">
        <v>0</v>
      </c>
      <c r="M14">
        <v>24</v>
      </c>
    </row>
    <row r="15" spans="1:13" x14ac:dyDescent="0.25">
      <c r="A15">
        <v>1824</v>
      </c>
      <c r="B15" t="s">
        <v>17</v>
      </c>
      <c r="C15" t="s">
        <v>231</v>
      </c>
      <c r="D15" t="s">
        <v>14</v>
      </c>
      <c r="F15">
        <v>600</v>
      </c>
      <c r="H15">
        <v>600</v>
      </c>
      <c r="I15">
        <v>334</v>
      </c>
      <c r="J15">
        <v>195</v>
      </c>
      <c r="K15">
        <v>266</v>
      </c>
      <c r="L15">
        <v>0</v>
      </c>
      <c r="M15">
        <v>405</v>
      </c>
    </row>
    <row r="16" spans="1:13" x14ac:dyDescent="0.25">
      <c r="A16">
        <v>1824</v>
      </c>
      <c r="B16">
        <v>21</v>
      </c>
      <c r="C16" t="s">
        <v>232</v>
      </c>
      <c r="D16" t="s">
        <v>14</v>
      </c>
      <c r="F16">
        <v>210</v>
      </c>
      <c r="H16">
        <v>210</v>
      </c>
      <c r="I16">
        <v>75</v>
      </c>
      <c r="J16">
        <v>60</v>
      </c>
      <c r="K16">
        <v>135</v>
      </c>
      <c r="L16">
        <v>0</v>
      </c>
      <c r="M16">
        <v>105</v>
      </c>
    </row>
    <row r="17" spans="1:13" x14ac:dyDescent="0.25">
      <c r="A17">
        <v>2083</v>
      </c>
      <c r="B17" t="s">
        <v>177</v>
      </c>
      <c r="C17" t="s">
        <v>233</v>
      </c>
      <c r="D17" t="s">
        <v>16</v>
      </c>
      <c r="E17">
        <v>0</v>
      </c>
      <c r="F17">
        <v>0</v>
      </c>
      <c r="H17">
        <v>0</v>
      </c>
      <c r="I17">
        <v>0</v>
      </c>
      <c r="J17" t="s">
        <v>209</v>
      </c>
      <c r="K17">
        <v>0</v>
      </c>
      <c r="L17">
        <v>0</v>
      </c>
      <c r="M17">
        <v>0</v>
      </c>
    </row>
    <row r="18" spans="1:13" x14ac:dyDescent="0.25">
      <c r="A18">
        <v>2084</v>
      </c>
      <c r="B18" t="s">
        <v>177</v>
      </c>
      <c r="C18" t="s">
        <v>234</v>
      </c>
      <c r="D18" t="s">
        <v>16</v>
      </c>
      <c r="E18">
        <v>24</v>
      </c>
      <c r="F18">
        <v>0</v>
      </c>
      <c r="H18">
        <v>24</v>
      </c>
      <c r="I18">
        <v>48</v>
      </c>
      <c r="J18" t="s">
        <v>209</v>
      </c>
      <c r="K18">
        <v>-24</v>
      </c>
      <c r="L18">
        <v>0</v>
      </c>
      <c r="M18">
        <v>0</v>
      </c>
    </row>
    <row r="19" spans="1:13" x14ac:dyDescent="0.25">
      <c r="A19">
        <v>2903</v>
      </c>
      <c r="B19" t="s">
        <v>17</v>
      </c>
      <c r="C19" t="s">
        <v>235</v>
      </c>
      <c r="D19" t="s">
        <v>16</v>
      </c>
      <c r="E19">
        <v>103</v>
      </c>
      <c r="F19">
        <v>0</v>
      </c>
      <c r="H19">
        <v>103</v>
      </c>
      <c r="I19">
        <v>36</v>
      </c>
      <c r="J19">
        <v>75</v>
      </c>
      <c r="K19">
        <v>67</v>
      </c>
      <c r="L19">
        <v>0</v>
      </c>
      <c r="M19">
        <v>0</v>
      </c>
    </row>
    <row r="20" spans="1:13" x14ac:dyDescent="0.25">
      <c r="A20">
        <v>2920</v>
      </c>
      <c r="B20" t="s">
        <v>17</v>
      </c>
      <c r="C20" t="s">
        <v>236</v>
      </c>
      <c r="D20" t="s">
        <v>14</v>
      </c>
      <c r="F20">
        <v>264</v>
      </c>
      <c r="H20">
        <v>264</v>
      </c>
      <c r="I20">
        <v>228</v>
      </c>
      <c r="J20">
        <v>48</v>
      </c>
      <c r="K20">
        <v>36</v>
      </c>
      <c r="L20">
        <v>0</v>
      </c>
      <c r="M20">
        <v>216</v>
      </c>
    </row>
    <row r="21" spans="1:13" x14ac:dyDescent="0.25">
      <c r="A21">
        <v>2920</v>
      </c>
      <c r="B21" t="s">
        <v>17</v>
      </c>
      <c r="C21" t="s">
        <v>237</v>
      </c>
      <c r="D21" t="s">
        <v>16</v>
      </c>
      <c r="F21">
        <v>390</v>
      </c>
      <c r="H21">
        <v>390</v>
      </c>
      <c r="I21">
        <v>375</v>
      </c>
      <c r="J21">
        <v>60</v>
      </c>
      <c r="K21">
        <v>15</v>
      </c>
      <c r="L21">
        <v>0</v>
      </c>
      <c r="M21">
        <v>330</v>
      </c>
    </row>
    <row r="22" spans="1:13" x14ac:dyDescent="0.25">
      <c r="A22">
        <v>2920</v>
      </c>
      <c r="B22" t="s">
        <v>26</v>
      </c>
      <c r="C22" t="s">
        <v>238</v>
      </c>
      <c r="D22" t="s">
        <v>14</v>
      </c>
      <c r="F22">
        <v>276</v>
      </c>
      <c r="H22">
        <v>276</v>
      </c>
      <c r="I22">
        <v>276</v>
      </c>
      <c r="J22">
        <v>96</v>
      </c>
      <c r="K22">
        <v>0</v>
      </c>
      <c r="L22">
        <v>0</v>
      </c>
      <c r="M22">
        <v>180</v>
      </c>
    </row>
    <row r="23" spans="1:13" x14ac:dyDescent="0.25">
      <c r="A23">
        <v>2920</v>
      </c>
      <c r="B23" t="s">
        <v>26</v>
      </c>
      <c r="C23" t="s">
        <v>239</v>
      </c>
      <c r="D23" t="s">
        <v>16</v>
      </c>
      <c r="F23">
        <v>510</v>
      </c>
      <c r="H23">
        <v>510</v>
      </c>
      <c r="I23">
        <v>570</v>
      </c>
      <c r="J23">
        <v>135</v>
      </c>
      <c r="K23">
        <v>-60</v>
      </c>
      <c r="L23">
        <v>0</v>
      </c>
      <c r="M23">
        <v>375</v>
      </c>
    </row>
    <row r="24" spans="1:13" x14ac:dyDescent="0.25">
      <c r="A24">
        <v>2933</v>
      </c>
      <c r="B24" t="s">
        <v>12</v>
      </c>
      <c r="C24" t="s">
        <v>240</v>
      </c>
      <c r="D24" t="s">
        <v>14</v>
      </c>
      <c r="F24">
        <v>450</v>
      </c>
      <c r="H24">
        <v>450</v>
      </c>
      <c r="I24">
        <v>480</v>
      </c>
      <c r="J24">
        <v>330</v>
      </c>
      <c r="K24">
        <v>-30</v>
      </c>
      <c r="L24">
        <v>45</v>
      </c>
      <c r="M24">
        <v>75</v>
      </c>
    </row>
    <row r="25" spans="1:13" x14ac:dyDescent="0.25">
      <c r="A25">
        <v>2933</v>
      </c>
      <c r="B25" t="s">
        <v>17</v>
      </c>
      <c r="C25" t="s">
        <v>241</v>
      </c>
      <c r="D25" t="s">
        <v>14</v>
      </c>
      <c r="F25">
        <v>450</v>
      </c>
      <c r="H25">
        <v>450</v>
      </c>
      <c r="I25">
        <v>525</v>
      </c>
      <c r="J25">
        <v>375</v>
      </c>
      <c r="K25">
        <v>-75</v>
      </c>
      <c r="L25">
        <v>15</v>
      </c>
      <c r="M25">
        <v>60</v>
      </c>
    </row>
    <row r="26" spans="1:13" x14ac:dyDescent="0.25">
      <c r="A26">
        <v>2937</v>
      </c>
      <c r="B26" t="s">
        <v>12</v>
      </c>
      <c r="C26" t="s">
        <v>242</v>
      </c>
      <c r="D26" t="s">
        <v>14</v>
      </c>
      <c r="F26">
        <v>192</v>
      </c>
      <c r="H26">
        <v>192</v>
      </c>
      <c r="I26">
        <v>228</v>
      </c>
      <c r="J26">
        <v>168</v>
      </c>
      <c r="K26">
        <v>-36</v>
      </c>
      <c r="L26">
        <v>0</v>
      </c>
      <c r="M26">
        <v>24</v>
      </c>
    </row>
    <row r="27" spans="1:13" x14ac:dyDescent="0.25">
      <c r="A27">
        <v>2937</v>
      </c>
      <c r="B27" t="s">
        <v>12</v>
      </c>
      <c r="C27" t="s">
        <v>243</v>
      </c>
      <c r="D27" t="s">
        <v>16</v>
      </c>
      <c r="F27">
        <v>255</v>
      </c>
      <c r="H27">
        <v>255</v>
      </c>
      <c r="I27">
        <v>330</v>
      </c>
      <c r="J27">
        <v>210</v>
      </c>
      <c r="K27">
        <v>-75</v>
      </c>
      <c r="L27">
        <v>0</v>
      </c>
      <c r="M27">
        <v>45</v>
      </c>
    </row>
    <row r="28" spans="1:13" x14ac:dyDescent="0.25">
      <c r="A28">
        <v>2937</v>
      </c>
      <c r="B28" t="s">
        <v>17</v>
      </c>
      <c r="C28" t="s">
        <v>244</v>
      </c>
      <c r="D28" t="s">
        <v>14</v>
      </c>
      <c r="F28">
        <v>336</v>
      </c>
      <c r="H28">
        <v>336</v>
      </c>
      <c r="I28">
        <v>372</v>
      </c>
      <c r="J28">
        <v>312</v>
      </c>
      <c r="K28">
        <v>-36</v>
      </c>
      <c r="L28">
        <v>0</v>
      </c>
      <c r="M28">
        <v>24</v>
      </c>
    </row>
    <row r="29" spans="1:13" x14ac:dyDescent="0.25">
      <c r="A29">
        <v>2937</v>
      </c>
      <c r="B29" t="s">
        <v>17</v>
      </c>
      <c r="C29" t="s">
        <v>245</v>
      </c>
      <c r="D29" t="s">
        <v>16</v>
      </c>
      <c r="F29">
        <v>705</v>
      </c>
      <c r="H29">
        <v>705</v>
      </c>
      <c r="I29">
        <v>780</v>
      </c>
      <c r="J29">
        <v>655</v>
      </c>
      <c r="K29">
        <v>-75</v>
      </c>
      <c r="L29">
        <v>0</v>
      </c>
      <c r="M29">
        <v>45</v>
      </c>
    </row>
    <row r="30" spans="1:13" x14ac:dyDescent="0.25">
      <c r="A30" t="s">
        <v>246</v>
      </c>
      <c r="B30" t="s">
        <v>48</v>
      </c>
      <c r="C30" t="s">
        <v>247</v>
      </c>
      <c r="D30" t="s">
        <v>16</v>
      </c>
      <c r="E30">
        <v>435</v>
      </c>
      <c r="F30">
        <v>0</v>
      </c>
      <c r="H30">
        <v>435</v>
      </c>
      <c r="I30">
        <v>15</v>
      </c>
      <c r="J30">
        <v>300</v>
      </c>
      <c r="K30">
        <v>420</v>
      </c>
      <c r="L30">
        <v>0</v>
      </c>
      <c r="M30">
        <v>135</v>
      </c>
    </row>
    <row r="31" spans="1:13" x14ac:dyDescent="0.25">
      <c r="A31">
        <v>2989</v>
      </c>
      <c r="B31" t="s">
        <v>48</v>
      </c>
      <c r="C31" t="s">
        <v>248</v>
      </c>
      <c r="D31" t="s">
        <v>224</v>
      </c>
      <c r="E31">
        <v>142</v>
      </c>
      <c r="F31">
        <v>0</v>
      </c>
      <c r="H31">
        <v>142</v>
      </c>
      <c r="I31">
        <v>48</v>
      </c>
      <c r="J31">
        <v>108</v>
      </c>
      <c r="K31">
        <v>94</v>
      </c>
      <c r="L31">
        <v>0</v>
      </c>
      <c r="M31">
        <v>34</v>
      </c>
    </row>
    <row r="32" spans="1:13" x14ac:dyDescent="0.25">
      <c r="A32">
        <v>3027</v>
      </c>
      <c r="B32" t="s">
        <v>60</v>
      </c>
      <c r="C32" t="s">
        <v>249</v>
      </c>
      <c r="D32" t="s">
        <v>14</v>
      </c>
      <c r="E32">
        <v>30</v>
      </c>
      <c r="F32">
        <v>105</v>
      </c>
      <c r="H32">
        <v>135</v>
      </c>
      <c r="I32">
        <v>124</v>
      </c>
      <c r="J32">
        <v>90</v>
      </c>
      <c r="K32">
        <v>11</v>
      </c>
      <c r="L32">
        <v>45</v>
      </c>
      <c r="M32">
        <v>150</v>
      </c>
    </row>
    <row r="33" spans="1:13" x14ac:dyDescent="0.25">
      <c r="A33">
        <v>3079</v>
      </c>
      <c r="B33" t="s">
        <v>17</v>
      </c>
      <c r="C33" t="s">
        <v>250</v>
      </c>
      <c r="D33" t="s">
        <v>14</v>
      </c>
      <c r="F33">
        <v>840</v>
      </c>
      <c r="H33">
        <v>840</v>
      </c>
      <c r="I33">
        <v>750</v>
      </c>
      <c r="J33">
        <v>690</v>
      </c>
      <c r="K33">
        <v>90</v>
      </c>
      <c r="L33">
        <v>15</v>
      </c>
      <c r="M33">
        <v>135</v>
      </c>
    </row>
    <row r="34" spans="1:13" x14ac:dyDescent="0.25">
      <c r="A34">
        <v>3079</v>
      </c>
      <c r="B34" t="s">
        <v>91</v>
      </c>
      <c r="C34" t="s">
        <v>251</v>
      </c>
      <c r="D34" t="s">
        <v>14</v>
      </c>
      <c r="F34">
        <v>360</v>
      </c>
      <c r="H34">
        <v>360</v>
      </c>
      <c r="I34">
        <v>345</v>
      </c>
      <c r="J34">
        <v>300</v>
      </c>
      <c r="K34">
        <v>15</v>
      </c>
      <c r="L34">
        <v>15</v>
      </c>
      <c r="M34">
        <v>45</v>
      </c>
    </row>
    <row r="35" spans="1:13" x14ac:dyDescent="0.25">
      <c r="A35">
        <v>3097</v>
      </c>
      <c r="B35" t="s">
        <v>17</v>
      </c>
      <c r="C35" t="s">
        <v>252</v>
      </c>
      <c r="D35" t="s">
        <v>14</v>
      </c>
      <c r="F35">
        <v>240</v>
      </c>
      <c r="H35">
        <v>240</v>
      </c>
      <c r="I35">
        <v>285</v>
      </c>
      <c r="J35">
        <v>225</v>
      </c>
      <c r="K35">
        <v>-45</v>
      </c>
      <c r="L35">
        <v>0</v>
      </c>
      <c r="M35">
        <v>15</v>
      </c>
    </row>
    <row r="36" spans="1:13" x14ac:dyDescent="0.25">
      <c r="A36">
        <v>3097</v>
      </c>
      <c r="B36" t="s">
        <v>60</v>
      </c>
      <c r="C36" t="s">
        <v>253</v>
      </c>
      <c r="D36" t="s">
        <v>14</v>
      </c>
      <c r="F36">
        <v>360</v>
      </c>
      <c r="H36">
        <v>360</v>
      </c>
      <c r="I36">
        <v>315</v>
      </c>
      <c r="J36">
        <v>285</v>
      </c>
      <c r="K36">
        <v>45</v>
      </c>
      <c r="L36">
        <v>15</v>
      </c>
      <c r="M36">
        <v>60</v>
      </c>
    </row>
    <row r="37" spans="1:13" x14ac:dyDescent="0.25">
      <c r="A37" t="s">
        <v>254</v>
      </c>
      <c r="B37" t="s">
        <v>60</v>
      </c>
      <c r="C37" t="s">
        <v>255</v>
      </c>
      <c r="D37" t="s">
        <v>14</v>
      </c>
      <c r="E37">
        <v>120</v>
      </c>
      <c r="F37">
        <v>0</v>
      </c>
      <c r="H37">
        <v>120</v>
      </c>
      <c r="I37">
        <v>60</v>
      </c>
      <c r="J37">
        <v>74</v>
      </c>
      <c r="K37">
        <v>60</v>
      </c>
      <c r="L37">
        <v>45</v>
      </c>
      <c r="M37">
        <v>45</v>
      </c>
    </row>
    <row r="38" spans="1:13" x14ac:dyDescent="0.25">
      <c r="A38">
        <v>3106</v>
      </c>
      <c r="B38" t="s">
        <v>17</v>
      </c>
      <c r="C38" t="s">
        <v>256</v>
      </c>
      <c r="D38" t="s">
        <v>14</v>
      </c>
      <c r="F38">
        <v>444</v>
      </c>
      <c r="H38">
        <v>444</v>
      </c>
      <c r="I38">
        <v>312</v>
      </c>
      <c r="J38">
        <v>276</v>
      </c>
      <c r="K38">
        <v>132</v>
      </c>
      <c r="L38">
        <v>24</v>
      </c>
      <c r="M38">
        <v>144</v>
      </c>
    </row>
    <row r="39" spans="1:13" x14ac:dyDescent="0.25">
      <c r="A39">
        <v>3106</v>
      </c>
      <c r="B39" t="s">
        <v>257</v>
      </c>
      <c r="C39" t="s">
        <v>258</v>
      </c>
      <c r="D39" t="s">
        <v>14</v>
      </c>
      <c r="F39">
        <v>0</v>
      </c>
      <c r="H39">
        <v>0</v>
      </c>
      <c r="I39">
        <v>0</v>
      </c>
      <c r="J39" t="s">
        <v>209</v>
      </c>
      <c r="K39">
        <v>0</v>
      </c>
      <c r="L39">
        <v>0</v>
      </c>
      <c r="M39">
        <v>0</v>
      </c>
    </row>
    <row r="40" spans="1:13" x14ac:dyDescent="0.25">
      <c r="A40">
        <v>3392</v>
      </c>
      <c r="B40" t="s">
        <v>60</v>
      </c>
      <c r="C40" t="s">
        <v>259</v>
      </c>
      <c r="D40" t="s">
        <v>14</v>
      </c>
      <c r="E40">
        <v>195</v>
      </c>
      <c r="F40">
        <v>0</v>
      </c>
      <c r="H40">
        <v>195</v>
      </c>
      <c r="I40">
        <v>30</v>
      </c>
      <c r="J40">
        <v>30</v>
      </c>
      <c r="K40">
        <v>165</v>
      </c>
      <c r="L40">
        <v>45</v>
      </c>
      <c r="M40">
        <v>75</v>
      </c>
    </row>
    <row r="41" spans="1:13" x14ac:dyDescent="0.25">
      <c r="A41" t="s">
        <v>260</v>
      </c>
      <c r="B41" t="s">
        <v>57</v>
      </c>
      <c r="C41" t="s">
        <v>261</v>
      </c>
      <c r="D41" t="s">
        <v>14</v>
      </c>
      <c r="E41">
        <v>165</v>
      </c>
      <c r="F41">
        <v>0</v>
      </c>
      <c r="H41">
        <v>165</v>
      </c>
      <c r="I41">
        <v>60</v>
      </c>
      <c r="J41">
        <v>75</v>
      </c>
      <c r="K41">
        <v>105</v>
      </c>
      <c r="L41">
        <v>120</v>
      </c>
      <c r="M41">
        <v>15</v>
      </c>
    </row>
    <row r="42" spans="1:13" x14ac:dyDescent="0.25">
      <c r="A42">
        <v>4180</v>
      </c>
      <c r="B42" t="s">
        <v>177</v>
      </c>
      <c r="C42" t="s">
        <v>262</v>
      </c>
      <c r="D42" t="s">
        <v>14</v>
      </c>
      <c r="E42">
        <v>60</v>
      </c>
      <c r="F42">
        <v>0</v>
      </c>
      <c r="H42">
        <v>60</v>
      </c>
      <c r="I42">
        <v>60</v>
      </c>
      <c r="J42">
        <v>60</v>
      </c>
      <c r="K42">
        <v>0</v>
      </c>
      <c r="L42">
        <v>15</v>
      </c>
      <c r="M42">
        <v>0</v>
      </c>
    </row>
    <row r="43" spans="1:13" x14ac:dyDescent="0.25">
      <c r="A43">
        <v>4402</v>
      </c>
      <c r="B43" t="s">
        <v>17</v>
      </c>
      <c r="C43" t="s">
        <v>204</v>
      </c>
      <c r="D43" t="s">
        <v>14</v>
      </c>
      <c r="F43">
        <v>300</v>
      </c>
      <c r="H43">
        <v>300</v>
      </c>
      <c r="I43">
        <v>240</v>
      </c>
      <c r="J43">
        <v>216</v>
      </c>
      <c r="K43">
        <v>60</v>
      </c>
      <c r="L43">
        <v>0</v>
      </c>
      <c r="M43">
        <v>84</v>
      </c>
    </row>
    <row r="44" spans="1:13" x14ac:dyDescent="0.25">
      <c r="A44">
        <v>4402</v>
      </c>
      <c r="B44" t="s">
        <v>60</v>
      </c>
      <c r="C44" t="s">
        <v>205</v>
      </c>
      <c r="D44" t="s">
        <v>14</v>
      </c>
      <c r="F44">
        <v>216</v>
      </c>
      <c r="H44">
        <v>216</v>
      </c>
      <c r="I44">
        <v>84</v>
      </c>
      <c r="J44">
        <v>72</v>
      </c>
      <c r="K44">
        <v>132</v>
      </c>
      <c r="L44">
        <v>0</v>
      </c>
      <c r="M44">
        <v>144</v>
      </c>
    </row>
    <row r="45" spans="1:13" x14ac:dyDescent="0.25">
      <c r="A45">
        <v>4402</v>
      </c>
      <c r="B45" t="s">
        <v>62</v>
      </c>
      <c r="C45" t="s">
        <v>263</v>
      </c>
      <c r="D45" t="s">
        <v>14</v>
      </c>
      <c r="F45">
        <v>0</v>
      </c>
      <c r="H45">
        <v>0</v>
      </c>
      <c r="I45">
        <v>0</v>
      </c>
      <c r="J45" t="s">
        <v>209</v>
      </c>
      <c r="K45">
        <v>0</v>
      </c>
      <c r="L45">
        <v>0</v>
      </c>
      <c r="M45">
        <v>0</v>
      </c>
    </row>
    <row r="46" spans="1:13" x14ac:dyDescent="0.25">
      <c r="A46">
        <v>4421</v>
      </c>
      <c r="B46" t="s">
        <v>17</v>
      </c>
      <c r="C46" t="s">
        <v>264</v>
      </c>
      <c r="D46" t="s">
        <v>14</v>
      </c>
      <c r="F46">
        <v>840</v>
      </c>
      <c r="H46">
        <v>840</v>
      </c>
      <c r="I46">
        <v>750</v>
      </c>
      <c r="J46">
        <v>615</v>
      </c>
      <c r="K46">
        <v>90</v>
      </c>
      <c r="L46">
        <v>0</v>
      </c>
      <c r="M46">
        <v>225</v>
      </c>
    </row>
    <row r="47" spans="1:13" x14ac:dyDescent="0.25">
      <c r="A47">
        <v>4421</v>
      </c>
      <c r="B47" t="s">
        <v>177</v>
      </c>
      <c r="C47" t="s">
        <v>265</v>
      </c>
      <c r="D47" t="s">
        <v>14</v>
      </c>
      <c r="F47">
        <v>585</v>
      </c>
      <c r="H47">
        <v>585</v>
      </c>
      <c r="I47">
        <v>510</v>
      </c>
      <c r="J47">
        <v>435</v>
      </c>
      <c r="K47">
        <v>75</v>
      </c>
      <c r="L47">
        <v>0</v>
      </c>
      <c r="M47">
        <v>150</v>
      </c>
    </row>
    <row r="48" spans="1:13" x14ac:dyDescent="0.25">
      <c r="A48">
        <v>4458</v>
      </c>
      <c r="B48" t="s">
        <v>17</v>
      </c>
      <c r="C48" t="s">
        <v>266</v>
      </c>
      <c r="D48" t="s">
        <v>14</v>
      </c>
      <c r="F48">
        <v>720</v>
      </c>
      <c r="H48">
        <v>720</v>
      </c>
      <c r="I48">
        <v>576</v>
      </c>
      <c r="J48">
        <v>479</v>
      </c>
      <c r="K48">
        <v>144</v>
      </c>
      <c r="L48">
        <v>0</v>
      </c>
      <c r="M48">
        <v>240</v>
      </c>
    </row>
    <row r="49" spans="1:13" x14ac:dyDescent="0.25">
      <c r="A49">
        <v>4458</v>
      </c>
      <c r="B49" t="s">
        <v>91</v>
      </c>
      <c r="C49" t="s">
        <v>267</v>
      </c>
      <c r="D49" t="s">
        <v>14</v>
      </c>
      <c r="F49">
        <v>300</v>
      </c>
      <c r="H49">
        <v>300</v>
      </c>
      <c r="I49">
        <v>300</v>
      </c>
      <c r="J49">
        <v>264</v>
      </c>
      <c r="K49">
        <v>0</v>
      </c>
      <c r="L49">
        <v>0</v>
      </c>
      <c r="M49">
        <v>36</v>
      </c>
    </row>
    <row r="50" spans="1:13" x14ac:dyDescent="0.25">
      <c r="A50">
        <v>4501</v>
      </c>
      <c r="B50" t="s">
        <v>17</v>
      </c>
      <c r="C50" t="s">
        <v>268</v>
      </c>
      <c r="D50" t="s">
        <v>14</v>
      </c>
      <c r="F50">
        <v>465</v>
      </c>
      <c r="H50">
        <v>465</v>
      </c>
      <c r="I50">
        <v>495</v>
      </c>
      <c r="J50">
        <v>464</v>
      </c>
      <c r="K50">
        <v>-30</v>
      </c>
      <c r="L50">
        <v>0</v>
      </c>
      <c r="M50">
        <v>0</v>
      </c>
    </row>
    <row r="51" spans="1:13" x14ac:dyDescent="0.25">
      <c r="A51">
        <v>4501</v>
      </c>
      <c r="B51" t="s">
        <v>117</v>
      </c>
      <c r="C51" t="s">
        <v>269</v>
      </c>
      <c r="D51" t="s">
        <v>14</v>
      </c>
      <c r="F51">
        <v>300</v>
      </c>
      <c r="H51">
        <v>300</v>
      </c>
      <c r="I51">
        <v>255</v>
      </c>
      <c r="J51">
        <v>225</v>
      </c>
      <c r="K51">
        <v>45</v>
      </c>
      <c r="L51">
        <v>0</v>
      </c>
      <c r="M51">
        <v>75</v>
      </c>
    </row>
    <row r="52" spans="1:13" x14ac:dyDescent="0.25">
      <c r="A52">
        <v>4544</v>
      </c>
      <c r="B52" t="s">
        <v>17</v>
      </c>
      <c r="C52" t="s">
        <v>270</v>
      </c>
      <c r="D52" t="s">
        <v>14</v>
      </c>
      <c r="F52">
        <v>444</v>
      </c>
      <c r="H52">
        <v>444</v>
      </c>
      <c r="I52">
        <v>408</v>
      </c>
      <c r="J52">
        <v>300</v>
      </c>
      <c r="K52">
        <v>36</v>
      </c>
      <c r="L52">
        <v>0</v>
      </c>
      <c r="M52">
        <v>144</v>
      </c>
    </row>
    <row r="53" spans="1:13" x14ac:dyDescent="0.25">
      <c r="A53">
        <v>4544</v>
      </c>
      <c r="B53" t="s">
        <v>117</v>
      </c>
      <c r="C53" t="s">
        <v>271</v>
      </c>
      <c r="D53" t="s">
        <v>14</v>
      </c>
      <c r="F53">
        <v>336</v>
      </c>
      <c r="H53">
        <v>336</v>
      </c>
      <c r="I53">
        <v>288</v>
      </c>
      <c r="J53">
        <v>228</v>
      </c>
      <c r="K53">
        <v>48</v>
      </c>
      <c r="L53">
        <v>0</v>
      </c>
      <c r="M53">
        <v>108</v>
      </c>
    </row>
    <row r="54" spans="1:13" x14ac:dyDescent="0.25">
      <c r="A54">
        <v>4561</v>
      </c>
      <c r="B54" t="s">
        <v>17</v>
      </c>
      <c r="C54" t="s">
        <v>272</v>
      </c>
      <c r="D54" t="s">
        <v>14</v>
      </c>
      <c r="F54">
        <v>732</v>
      </c>
      <c r="H54">
        <v>732</v>
      </c>
      <c r="I54">
        <v>684</v>
      </c>
      <c r="J54">
        <v>612</v>
      </c>
      <c r="K54">
        <v>48</v>
      </c>
      <c r="L54">
        <v>0</v>
      </c>
      <c r="M54">
        <v>120</v>
      </c>
    </row>
    <row r="55" spans="1:13" x14ac:dyDescent="0.25">
      <c r="A55">
        <v>4561</v>
      </c>
      <c r="B55" t="s">
        <v>91</v>
      </c>
      <c r="C55" t="s">
        <v>273</v>
      </c>
      <c r="D55" t="s">
        <v>14</v>
      </c>
      <c r="F55">
        <v>564</v>
      </c>
      <c r="H55">
        <v>564</v>
      </c>
      <c r="I55">
        <v>588</v>
      </c>
      <c r="J55">
        <v>528</v>
      </c>
      <c r="K55">
        <v>-24</v>
      </c>
      <c r="L55">
        <v>0</v>
      </c>
      <c r="M55">
        <v>36</v>
      </c>
    </row>
    <row r="56" spans="1:13" x14ac:dyDescent="0.25">
      <c r="A56">
        <v>4561</v>
      </c>
      <c r="B56" t="s">
        <v>177</v>
      </c>
      <c r="C56" t="s">
        <v>274</v>
      </c>
      <c r="D56" t="s">
        <v>14</v>
      </c>
      <c r="F56">
        <v>168</v>
      </c>
      <c r="H56">
        <v>168</v>
      </c>
      <c r="I56">
        <v>144</v>
      </c>
      <c r="J56">
        <v>60</v>
      </c>
      <c r="K56">
        <v>24</v>
      </c>
      <c r="L56">
        <v>0</v>
      </c>
      <c r="M56">
        <v>108</v>
      </c>
    </row>
    <row r="57" spans="1:13" x14ac:dyDescent="0.25">
      <c r="A57">
        <v>4595</v>
      </c>
      <c r="B57" t="s">
        <v>17</v>
      </c>
      <c r="C57" t="s">
        <v>275</v>
      </c>
      <c r="D57" t="s">
        <v>14</v>
      </c>
      <c r="F57">
        <v>510</v>
      </c>
      <c r="H57">
        <v>510</v>
      </c>
      <c r="I57">
        <v>570</v>
      </c>
      <c r="J57">
        <v>510</v>
      </c>
      <c r="K57">
        <v>-60</v>
      </c>
      <c r="L57">
        <v>0</v>
      </c>
      <c r="M57">
        <v>0</v>
      </c>
    </row>
    <row r="58" spans="1:13" x14ac:dyDescent="0.25">
      <c r="A58">
        <v>4595</v>
      </c>
      <c r="B58" t="s">
        <v>91</v>
      </c>
      <c r="C58" t="s">
        <v>276</v>
      </c>
      <c r="D58" t="s">
        <v>14</v>
      </c>
      <c r="F58">
        <v>450</v>
      </c>
      <c r="H58">
        <v>450</v>
      </c>
      <c r="I58">
        <v>480</v>
      </c>
      <c r="J58">
        <v>420</v>
      </c>
      <c r="K58">
        <v>-30</v>
      </c>
      <c r="L58">
        <v>0</v>
      </c>
      <c r="M58">
        <v>30</v>
      </c>
    </row>
    <row r="59" spans="1:13" x14ac:dyDescent="0.25">
      <c r="A59">
        <v>4595</v>
      </c>
      <c r="B59" t="s">
        <v>60</v>
      </c>
      <c r="C59" t="s">
        <v>206</v>
      </c>
      <c r="D59" t="s">
        <v>14</v>
      </c>
      <c r="F59">
        <v>345</v>
      </c>
      <c r="H59">
        <v>345</v>
      </c>
      <c r="I59">
        <v>360</v>
      </c>
      <c r="J59">
        <v>315</v>
      </c>
      <c r="K59">
        <v>-15</v>
      </c>
      <c r="L59">
        <v>0</v>
      </c>
      <c r="M59">
        <v>30</v>
      </c>
    </row>
    <row r="60" spans="1:13" x14ac:dyDescent="0.25">
      <c r="A60">
        <v>4756</v>
      </c>
      <c r="B60" t="s">
        <v>177</v>
      </c>
      <c r="C60" t="s">
        <v>277</v>
      </c>
      <c r="D60" t="s">
        <v>14</v>
      </c>
      <c r="E60">
        <v>330</v>
      </c>
      <c r="F60">
        <v>0</v>
      </c>
      <c r="H60">
        <v>330</v>
      </c>
      <c r="I60">
        <v>300</v>
      </c>
      <c r="J60">
        <v>284</v>
      </c>
      <c r="K60">
        <v>30</v>
      </c>
      <c r="L60">
        <v>0</v>
      </c>
      <c r="M60">
        <v>0</v>
      </c>
    </row>
    <row r="61" spans="1:13" x14ac:dyDescent="0.25">
      <c r="A61">
        <v>4783</v>
      </c>
      <c r="B61" t="s">
        <v>17</v>
      </c>
      <c r="C61" t="s">
        <v>278</v>
      </c>
      <c r="D61" t="s">
        <v>14</v>
      </c>
      <c r="F61">
        <v>360</v>
      </c>
      <c r="H61">
        <v>360</v>
      </c>
      <c r="I61">
        <v>264</v>
      </c>
      <c r="J61">
        <v>228</v>
      </c>
      <c r="K61">
        <v>96</v>
      </c>
      <c r="L61">
        <v>0</v>
      </c>
      <c r="M61">
        <v>132</v>
      </c>
    </row>
    <row r="62" spans="1:13" x14ac:dyDescent="0.25">
      <c r="A62">
        <v>4783</v>
      </c>
      <c r="B62" t="s">
        <v>91</v>
      </c>
      <c r="C62" t="s">
        <v>279</v>
      </c>
      <c r="D62" t="s">
        <v>14</v>
      </c>
      <c r="F62">
        <v>240</v>
      </c>
      <c r="H62">
        <v>240</v>
      </c>
      <c r="I62">
        <v>168</v>
      </c>
      <c r="J62">
        <v>132</v>
      </c>
      <c r="K62">
        <v>72</v>
      </c>
      <c r="L62">
        <v>0</v>
      </c>
      <c r="M62">
        <v>108</v>
      </c>
    </row>
    <row r="63" spans="1:13" x14ac:dyDescent="0.25">
      <c r="A63">
        <v>4799</v>
      </c>
      <c r="B63" t="s">
        <v>17</v>
      </c>
      <c r="C63" t="s">
        <v>280</v>
      </c>
      <c r="D63" t="s">
        <v>14</v>
      </c>
      <c r="F63">
        <v>396</v>
      </c>
      <c r="H63">
        <v>396</v>
      </c>
      <c r="I63">
        <v>348</v>
      </c>
      <c r="J63">
        <v>288</v>
      </c>
      <c r="K63">
        <v>48</v>
      </c>
      <c r="L63">
        <v>0</v>
      </c>
      <c r="M63">
        <v>108</v>
      </c>
    </row>
    <row r="64" spans="1:13" x14ac:dyDescent="0.25">
      <c r="A64">
        <v>4799</v>
      </c>
      <c r="B64" t="s">
        <v>177</v>
      </c>
      <c r="C64" t="s">
        <v>281</v>
      </c>
      <c r="D64" t="s">
        <v>14</v>
      </c>
      <c r="F64">
        <v>204</v>
      </c>
      <c r="H64">
        <v>204</v>
      </c>
      <c r="I64">
        <v>156</v>
      </c>
      <c r="J64">
        <v>120</v>
      </c>
      <c r="K64">
        <v>48</v>
      </c>
      <c r="L64">
        <v>0</v>
      </c>
      <c r="M64">
        <v>84</v>
      </c>
    </row>
    <row r="65" spans="1:13" x14ac:dyDescent="0.25">
      <c r="A65">
        <v>4805</v>
      </c>
      <c r="B65" t="s">
        <v>17</v>
      </c>
      <c r="C65" t="s">
        <v>282</v>
      </c>
      <c r="D65" t="s">
        <v>14</v>
      </c>
      <c r="F65">
        <v>312</v>
      </c>
      <c r="H65">
        <v>312</v>
      </c>
      <c r="I65">
        <v>252</v>
      </c>
      <c r="J65">
        <v>216</v>
      </c>
      <c r="K65">
        <v>60</v>
      </c>
      <c r="L65">
        <v>0</v>
      </c>
      <c r="M65">
        <v>96</v>
      </c>
    </row>
    <row r="66" spans="1:13" x14ac:dyDescent="0.25">
      <c r="A66">
        <v>4805</v>
      </c>
      <c r="B66" t="s">
        <v>91</v>
      </c>
      <c r="C66" t="s">
        <v>283</v>
      </c>
      <c r="D66" t="s">
        <v>14</v>
      </c>
      <c r="F66">
        <v>288</v>
      </c>
      <c r="H66">
        <v>288</v>
      </c>
      <c r="I66">
        <v>216</v>
      </c>
      <c r="J66">
        <v>192</v>
      </c>
      <c r="K66">
        <v>72</v>
      </c>
      <c r="L66">
        <v>0</v>
      </c>
      <c r="M66">
        <v>96</v>
      </c>
    </row>
    <row r="67" spans="1:13" x14ac:dyDescent="0.25">
      <c r="A67">
        <v>4814</v>
      </c>
      <c r="B67" t="s">
        <v>17</v>
      </c>
      <c r="C67" t="s">
        <v>284</v>
      </c>
      <c r="D67" t="s">
        <v>14</v>
      </c>
      <c r="F67">
        <v>600</v>
      </c>
      <c r="H67">
        <v>600</v>
      </c>
      <c r="I67">
        <v>684</v>
      </c>
      <c r="J67">
        <v>600</v>
      </c>
      <c r="K67">
        <v>-84</v>
      </c>
      <c r="L67">
        <v>0</v>
      </c>
      <c r="M67">
        <v>0</v>
      </c>
    </row>
    <row r="68" spans="1:13" x14ac:dyDescent="0.25">
      <c r="A68">
        <v>4814</v>
      </c>
      <c r="B68" t="s">
        <v>91</v>
      </c>
      <c r="C68" t="s">
        <v>285</v>
      </c>
      <c r="D68" t="s">
        <v>14</v>
      </c>
      <c r="F68">
        <v>204</v>
      </c>
      <c r="H68">
        <v>204</v>
      </c>
      <c r="I68">
        <v>240</v>
      </c>
      <c r="J68">
        <v>204</v>
      </c>
      <c r="K68">
        <v>-36</v>
      </c>
      <c r="L68">
        <v>0</v>
      </c>
      <c r="M68">
        <v>0</v>
      </c>
    </row>
    <row r="69" spans="1:13" x14ac:dyDescent="0.25">
      <c r="A69">
        <v>4814</v>
      </c>
      <c r="B69" t="s">
        <v>286</v>
      </c>
      <c r="C69" t="s">
        <v>287</v>
      </c>
      <c r="D69" t="s">
        <v>14</v>
      </c>
      <c r="F69">
        <v>468</v>
      </c>
      <c r="H69">
        <v>468</v>
      </c>
      <c r="I69">
        <v>552</v>
      </c>
      <c r="J69">
        <v>468</v>
      </c>
      <c r="K69">
        <v>-84</v>
      </c>
      <c r="L69">
        <v>0</v>
      </c>
      <c r="M69">
        <v>0</v>
      </c>
    </row>
    <row r="70" spans="1:13" x14ac:dyDescent="0.25">
      <c r="A70">
        <v>4815</v>
      </c>
      <c r="B70" t="s">
        <v>17</v>
      </c>
      <c r="C70" t="s">
        <v>207</v>
      </c>
      <c r="D70" t="s">
        <v>14</v>
      </c>
      <c r="F70">
        <v>300</v>
      </c>
      <c r="H70">
        <v>300</v>
      </c>
      <c r="I70">
        <v>180</v>
      </c>
      <c r="J70">
        <v>120</v>
      </c>
      <c r="K70">
        <v>120</v>
      </c>
      <c r="L70">
        <v>0</v>
      </c>
      <c r="M70">
        <v>180</v>
      </c>
    </row>
    <row r="71" spans="1:13" x14ac:dyDescent="0.25">
      <c r="A71">
        <v>4815</v>
      </c>
      <c r="B71" t="s">
        <v>37</v>
      </c>
      <c r="C71" t="s">
        <v>208</v>
      </c>
      <c r="D71" t="s">
        <v>14</v>
      </c>
      <c r="F71">
        <v>300</v>
      </c>
      <c r="H71">
        <v>300</v>
      </c>
      <c r="I71">
        <v>144</v>
      </c>
      <c r="J71">
        <v>96</v>
      </c>
      <c r="K71">
        <v>156</v>
      </c>
      <c r="L71">
        <v>0</v>
      </c>
      <c r="M71">
        <v>204</v>
      </c>
    </row>
    <row r="72" spans="1:13" x14ac:dyDescent="0.25">
      <c r="A72">
        <v>4830</v>
      </c>
      <c r="B72" t="s">
        <v>107</v>
      </c>
      <c r="C72" t="s">
        <v>288</v>
      </c>
      <c r="D72" t="s">
        <v>14</v>
      </c>
      <c r="F72">
        <v>0</v>
      </c>
      <c r="H72">
        <v>0</v>
      </c>
      <c r="I72">
        <v>0</v>
      </c>
      <c r="J72" t="s">
        <v>209</v>
      </c>
      <c r="K72">
        <v>0</v>
      </c>
      <c r="L72">
        <v>0</v>
      </c>
      <c r="M72">
        <v>0</v>
      </c>
    </row>
    <row r="73" spans="1:13" x14ac:dyDescent="0.25">
      <c r="A73">
        <v>4830</v>
      </c>
      <c r="B73" t="s">
        <v>17</v>
      </c>
      <c r="C73" t="s">
        <v>289</v>
      </c>
      <c r="D73" t="s">
        <v>14</v>
      </c>
      <c r="F73">
        <v>0</v>
      </c>
      <c r="H73">
        <v>0</v>
      </c>
      <c r="I73">
        <v>0</v>
      </c>
      <c r="J73" t="s">
        <v>209</v>
      </c>
      <c r="K73">
        <v>0</v>
      </c>
      <c r="L73">
        <v>0</v>
      </c>
      <c r="M73">
        <v>0</v>
      </c>
    </row>
    <row r="74" spans="1:13" x14ac:dyDescent="0.25">
      <c r="A74">
        <v>4830</v>
      </c>
      <c r="B74" t="s">
        <v>60</v>
      </c>
      <c r="C74" t="s">
        <v>290</v>
      </c>
      <c r="D74" t="s">
        <v>14</v>
      </c>
      <c r="F74">
        <v>300</v>
      </c>
      <c r="H74">
        <v>300</v>
      </c>
      <c r="I74">
        <v>96</v>
      </c>
      <c r="J74">
        <v>72</v>
      </c>
      <c r="K74">
        <v>204</v>
      </c>
      <c r="L74">
        <v>0</v>
      </c>
      <c r="M74">
        <v>228</v>
      </c>
    </row>
    <row r="75" spans="1:13" x14ac:dyDescent="0.25">
      <c r="A75">
        <v>4833</v>
      </c>
      <c r="B75" t="s">
        <v>17</v>
      </c>
      <c r="C75" t="s">
        <v>210</v>
      </c>
      <c r="D75" t="s">
        <v>14</v>
      </c>
      <c r="F75">
        <v>300</v>
      </c>
      <c r="H75">
        <v>300</v>
      </c>
      <c r="I75">
        <v>216</v>
      </c>
      <c r="J75">
        <v>180</v>
      </c>
      <c r="K75">
        <v>84</v>
      </c>
      <c r="L75">
        <v>0</v>
      </c>
      <c r="M75">
        <v>120</v>
      </c>
    </row>
    <row r="76" spans="1:13" x14ac:dyDescent="0.25">
      <c r="A76">
        <v>4833</v>
      </c>
      <c r="B76" t="s">
        <v>257</v>
      </c>
      <c r="C76" t="s">
        <v>291</v>
      </c>
      <c r="D76" t="s">
        <v>14</v>
      </c>
      <c r="F76">
        <v>0</v>
      </c>
      <c r="H76">
        <v>0</v>
      </c>
      <c r="I76">
        <v>0</v>
      </c>
      <c r="J76" t="s">
        <v>209</v>
      </c>
      <c r="K76">
        <v>0</v>
      </c>
      <c r="L76">
        <v>0</v>
      </c>
      <c r="M76">
        <v>0</v>
      </c>
    </row>
    <row r="77" spans="1:13" x14ac:dyDescent="0.25">
      <c r="A77">
        <v>4837</v>
      </c>
      <c r="B77" t="s">
        <v>17</v>
      </c>
      <c r="C77" t="s">
        <v>292</v>
      </c>
      <c r="D77" t="s">
        <v>14</v>
      </c>
      <c r="F77">
        <v>255</v>
      </c>
      <c r="H77">
        <v>255</v>
      </c>
      <c r="I77">
        <v>285</v>
      </c>
      <c r="J77">
        <v>195</v>
      </c>
      <c r="K77">
        <v>-30</v>
      </c>
      <c r="L77">
        <v>0</v>
      </c>
      <c r="M77">
        <v>60</v>
      </c>
    </row>
    <row r="78" spans="1:13" x14ac:dyDescent="0.25">
      <c r="A78">
        <v>4837</v>
      </c>
      <c r="B78" t="s">
        <v>91</v>
      </c>
      <c r="C78" t="s">
        <v>293</v>
      </c>
      <c r="D78" t="s">
        <v>14</v>
      </c>
      <c r="F78">
        <v>450</v>
      </c>
      <c r="H78">
        <v>450</v>
      </c>
      <c r="I78">
        <v>450</v>
      </c>
      <c r="J78">
        <v>315</v>
      </c>
      <c r="K78">
        <v>0</v>
      </c>
      <c r="L78">
        <v>0</v>
      </c>
      <c r="M78">
        <v>135</v>
      </c>
    </row>
    <row r="79" spans="1:13" x14ac:dyDescent="0.25">
      <c r="A79">
        <v>4837</v>
      </c>
      <c r="B79" t="s">
        <v>37</v>
      </c>
      <c r="C79" t="s">
        <v>294</v>
      </c>
      <c r="D79" t="s">
        <v>14</v>
      </c>
      <c r="F79">
        <v>450</v>
      </c>
      <c r="H79">
        <v>450</v>
      </c>
      <c r="I79">
        <v>390</v>
      </c>
      <c r="J79">
        <v>240</v>
      </c>
      <c r="K79">
        <v>60</v>
      </c>
      <c r="L79">
        <v>0</v>
      </c>
      <c r="M79">
        <v>209</v>
      </c>
    </row>
    <row r="80" spans="1:13" x14ac:dyDescent="0.25">
      <c r="A80">
        <v>4837</v>
      </c>
      <c r="B80" t="s">
        <v>117</v>
      </c>
      <c r="C80" t="s">
        <v>295</v>
      </c>
      <c r="D80" t="s">
        <v>14</v>
      </c>
      <c r="F80">
        <v>600</v>
      </c>
      <c r="H80">
        <v>600</v>
      </c>
      <c r="I80">
        <v>555</v>
      </c>
      <c r="J80">
        <v>405</v>
      </c>
      <c r="K80">
        <v>45</v>
      </c>
      <c r="L80">
        <v>0</v>
      </c>
      <c r="M80">
        <v>195</v>
      </c>
    </row>
    <row r="81" spans="1:13" x14ac:dyDescent="0.25">
      <c r="A81">
        <v>4842</v>
      </c>
      <c r="B81" t="s">
        <v>17</v>
      </c>
      <c r="C81" t="s">
        <v>296</v>
      </c>
      <c r="D81" t="s">
        <v>14</v>
      </c>
      <c r="F81">
        <v>495</v>
      </c>
      <c r="H81">
        <v>495</v>
      </c>
      <c r="I81">
        <v>405</v>
      </c>
      <c r="J81">
        <v>269</v>
      </c>
      <c r="K81">
        <v>90</v>
      </c>
      <c r="L81">
        <v>0</v>
      </c>
      <c r="M81">
        <v>225</v>
      </c>
    </row>
    <row r="82" spans="1:13" x14ac:dyDescent="0.25">
      <c r="A82">
        <v>4842</v>
      </c>
      <c r="B82" t="s">
        <v>48</v>
      </c>
      <c r="C82" t="s">
        <v>297</v>
      </c>
      <c r="D82" t="s">
        <v>14</v>
      </c>
      <c r="F82">
        <v>360</v>
      </c>
      <c r="H82">
        <v>360</v>
      </c>
      <c r="I82">
        <v>345</v>
      </c>
      <c r="J82">
        <v>270</v>
      </c>
      <c r="K82">
        <v>15</v>
      </c>
      <c r="L82">
        <v>0</v>
      </c>
      <c r="M82">
        <v>90</v>
      </c>
    </row>
    <row r="83" spans="1:13" x14ac:dyDescent="0.25">
      <c r="A83">
        <v>4842</v>
      </c>
      <c r="B83" t="s">
        <v>117</v>
      </c>
      <c r="C83" t="s">
        <v>298</v>
      </c>
      <c r="D83" t="s">
        <v>14</v>
      </c>
      <c r="F83">
        <v>435</v>
      </c>
      <c r="H83">
        <v>435</v>
      </c>
      <c r="I83">
        <v>435</v>
      </c>
      <c r="J83">
        <v>300</v>
      </c>
      <c r="K83">
        <v>0</v>
      </c>
      <c r="L83">
        <v>0</v>
      </c>
      <c r="M83">
        <v>135</v>
      </c>
    </row>
    <row r="84" spans="1:13" x14ac:dyDescent="0.25">
      <c r="A84">
        <v>4843</v>
      </c>
      <c r="B84" t="s">
        <v>17</v>
      </c>
      <c r="C84" t="s">
        <v>299</v>
      </c>
      <c r="D84" t="s">
        <v>14</v>
      </c>
      <c r="F84">
        <v>720</v>
      </c>
      <c r="H84">
        <v>720</v>
      </c>
      <c r="I84">
        <v>720</v>
      </c>
      <c r="J84">
        <v>480</v>
      </c>
      <c r="K84">
        <v>0</v>
      </c>
      <c r="L84">
        <v>0</v>
      </c>
      <c r="M84">
        <v>240</v>
      </c>
    </row>
    <row r="85" spans="1:13" x14ac:dyDescent="0.25">
      <c r="A85">
        <v>4843</v>
      </c>
      <c r="B85" t="s">
        <v>37</v>
      </c>
      <c r="C85" t="s">
        <v>300</v>
      </c>
      <c r="D85" t="s">
        <v>14</v>
      </c>
      <c r="F85">
        <v>360</v>
      </c>
      <c r="H85">
        <v>360</v>
      </c>
      <c r="I85">
        <v>210</v>
      </c>
      <c r="J85">
        <v>120</v>
      </c>
      <c r="K85">
        <v>150</v>
      </c>
      <c r="L85">
        <v>0</v>
      </c>
      <c r="M85">
        <v>240</v>
      </c>
    </row>
    <row r="86" spans="1:13" x14ac:dyDescent="0.25">
      <c r="A86">
        <v>4843</v>
      </c>
      <c r="B86" t="s">
        <v>117</v>
      </c>
      <c r="C86" t="s">
        <v>301</v>
      </c>
      <c r="D86" t="s">
        <v>14</v>
      </c>
      <c r="F86">
        <v>360</v>
      </c>
      <c r="H86">
        <v>360</v>
      </c>
      <c r="I86">
        <v>270</v>
      </c>
      <c r="J86">
        <v>165</v>
      </c>
      <c r="K86">
        <v>90</v>
      </c>
      <c r="L86">
        <v>0</v>
      </c>
      <c r="M86">
        <v>195</v>
      </c>
    </row>
    <row r="87" spans="1:13" x14ac:dyDescent="0.25">
      <c r="A87">
        <v>4850</v>
      </c>
      <c r="B87" t="s">
        <v>17</v>
      </c>
      <c r="C87" t="s">
        <v>302</v>
      </c>
      <c r="D87" t="s">
        <v>14</v>
      </c>
      <c r="F87">
        <v>675</v>
      </c>
      <c r="H87">
        <v>675</v>
      </c>
      <c r="I87">
        <v>615</v>
      </c>
      <c r="J87">
        <v>570</v>
      </c>
      <c r="K87">
        <v>60</v>
      </c>
      <c r="L87">
        <v>0</v>
      </c>
      <c r="M87">
        <v>105</v>
      </c>
    </row>
    <row r="88" spans="1:13" x14ac:dyDescent="0.25">
      <c r="A88">
        <v>4850</v>
      </c>
      <c r="B88" t="s">
        <v>177</v>
      </c>
      <c r="C88" t="s">
        <v>303</v>
      </c>
      <c r="D88" t="s">
        <v>14</v>
      </c>
      <c r="F88">
        <v>375</v>
      </c>
      <c r="H88">
        <v>375</v>
      </c>
      <c r="I88">
        <v>375</v>
      </c>
      <c r="J88">
        <v>360</v>
      </c>
      <c r="K88">
        <v>0</v>
      </c>
      <c r="L88">
        <v>0</v>
      </c>
      <c r="M88">
        <v>15</v>
      </c>
    </row>
    <row r="89" spans="1:13" x14ac:dyDescent="0.25">
      <c r="A89">
        <v>4852</v>
      </c>
      <c r="B89" t="s">
        <v>17</v>
      </c>
      <c r="C89" t="s">
        <v>304</v>
      </c>
      <c r="D89" t="s">
        <v>14</v>
      </c>
      <c r="F89">
        <v>504</v>
      </c>
      <c r="H89">
        <v>504</v>
      </c>
      <c r="I89">
        <v>372</v>
      </c>
      <c r="J89">
        <v>276</v>
      </c>
      <c r="K89">
        <v>132</v>
      </c>
      <c r="L89">
        <v>0</v>
      </c>
      <c r="M89">
        <v>228</v>
      </c>
    </row>
    <row r="90" spans="1:13" x14ac:dyDescent="0.25">
      <c r="A90">
        <v>4852</v>
      </c>
      <c r="B90" t="s">
        <v>75</v>
      </c>
      <c r="C90" t="s">
        <v>305</v>
      </c>
      <c r="D90" t="s">
        <v>14</v>
      </c>
      <c r="F90">
        <v>0</v>
      </c>
      <c r="H90">
        <v>0</v>
      </c>
      <c r="I90">
        <v>0</v>
      </c>
      <c r="J90" t="s">
        <v>209</v>
      </c>
      <c r="K90">
        <v>0</v>
      </c>
      <c r="L90">
        <v>0</v>
      </c>
      <c r="M90">
        <v>0</v>
      </c>
    </row>
    <row r="91" spans="1:13" x14ac:dyDescent="0.25">
      <c r="A91">
        <v>4852</v>
      </c>
      <c r="B91" t="s">
        <v>117</v>
      </c>
      <c r="C91" t="s">
        <v>306</v>
      </c>
      <c r="D91" t="s">
        <v>14</v>
      </c>
      <c r="F91">
        <v>300</v>
      </c>
      <c r="H91">
        <v>300</v>
      </c>
      <c r="I91">
        <v>252</v>
      </c>
      <c r="J91">
        <v>180</v>
      </c>
      <c r="K91">
        <v>48</v>
      </c>
      <c r="L91">
        <v>0</v>
      </c>
      <c r="M91">
        <v>120</v>
      </c>
    </row>
    <row r="92" spans="1:13" x14ac:dyDescent="0.25">
      <c r="A92">
        <v>4856</v>
      </c>
      <c r="B92" t="s">
        <v>17</v>
      </c>
      <c r="C92" t="s">
        <v>307</v>
      </c>
      <c r="D92" t="s">
        <v>14</v>
      </c>
      <c r="F92">
        <v>1500</v>
      </c>
      <c r="H92">
        <v>1500</v>
      </c>
      <c r="I92">
        <v>1815</v>
      </c>
      <c r="J92">
        <v>1499</v>
      </c>
      <c r="K92">
        <v>-315</v>
      </c>
      <c r="L92">
        <v>0</v>
      </c>
      <c r="M92">
        <v>0</v>
      </c>
    </row>
    <row r="93" spans="1:13" x14ac:dyDescent="0.25">
      <c r="A93">
        <v>4856</v>
      </c>
      <c r="B93" t="s">
        <v>177</v>
      </c>
      <c r="C93" t="s">
        <v>308</v>
      </c>
      <c r="D93" t="s">
        <v>14</v>
      </c>
      <c r="F93">
        <v>1500</v>
      </c>
      <c r="H93">
        <v>1500</v>
      </c>
      <c r="I93">
        <v>1845</v>
      </c>
      <c r="J93">
        <v>1500</v>
      </c>
      <c r="K93">
        <v>-345</v>
      </c>
      <c r="L93">
        <v>0</v>
      </c>
      <c r="M93">
        <v>0</v>
      </c>
    </row>
    <row r="94" spans="1:13" x14ac:dyDescent="0.25">
      <c r="A94">
        <v>4864</v>
      </c>
      <c r="B94" t="s">
        <v>17</v>
      </c>
      <c r="C94" t="s">
        <v>309</v>
      </c>
      <c r="D94" t="s">
        <v>14</v>
      </c>
      <c r="F94">
        <v>504</v>
      </c>
      <c r="H94">
        <v>504</v>
      </c>
      <c r="I94">
        <v>480</v>
      </c>
      <c r="J94">
        <v>300</v>
      </c>
      <c r="K94">
        <v>24</v>
      </c>
      <c r="L94">
        <v>0</v>
      </c>
      <c r="M94">
        <v>204</v>
      </c>
    </row>
    <row r="95" spans="1:13" x14ac:dyDescent="0.25">
      <c r="A95">
        <v>4864</v>
      </c>
      <c r="B95" t="s">
        <v>91</v>
      </c>
      <c r="C95" t="s">
        <v>310</v>
      </c>
      <c r="D95" t="s">
        <v>14</v>
      </c>
      <c r="F95">
        <v>384</v>
      </c>
      <c r="H95">
        <v>384</v>
      </c>
      <c r="I95">
        <v>252</v>
      </c>
      <c r="J95">
        <v>216</v>
      </c>
      <c r="K95">
        <v>132</v>
      </c>
      <c r="L95">
        <v>0</v>
      </c>
      <c r="M95">
        <v>168</v>
      </c>
    </row>
    <row r="96" spans="1:13" x14ac:dyDescent="0.25">
      <c r="A96">
        <v>4865</v>
      </c>
      <c r="B96" t="s">
        <v>17</v>
      </c>
      <c r="C96" t="s">
        <v>311</v>
      </c>
      <c r="D96" t="s">
        <v>14</v>
      </c>
      <c r="F96">
        <v>420</v>
      </c>
      <c r="H96">
        <v>420</v>
      </c>
      <c r="I96">
        <v>396</v>
      </c>
      <c r="J96">
        <v>336</v>
      </c>
      <c r="K96">
        <v>24</v>
      </c>
      <c r="L96">
        <v>0</v>
      </c>
      <c r="M96">
        <v>84</v>
      </c>
    </row>
    <row r="97" spans="1:13" x14ac:dyDescent="0.25">
      <c r="A97">
        <v>4865</v>
      </c>
      <c r="B97" t="s">
        <v>177</v>
      </c>
      <c r="C97" t="s">
        <v>312</v>
      </c>
      <c r="D97" t="s">
        <v>14</v>
      </c>
      <c r="F97">
        <v>276</v>
      </c>
      <c r="H97">
        <v>276</v>
      </c>
      <c r="I97">
        <v>420</v>
      </c>
      <c r="J97">
        <v>276</v>
      </c>
      <c r="K97">
        <v>-144</v>
      </c>
      <c r="L97">
        <v>0</v>
      </c>
      <c r="M97">
        <v>0</v>
      </c>
    </row>
    <row r="98" spans="1:13" x14ac:dyDescent="0.25">
      <c r="A98">
        <v>4866</v>
      </c>
      <c r="B98" t="s">
        <v>17</v>
      </c>
      <c r="C98" t="s">
        <v>313</v>
      </c>
      <c r="D98" t="s">
        <v>14</v>
      </c>
      <c r="F98">
        <v>408</v>
      </c>
      <c r="H98">
        <v>408</v>
      </c>
      <c r="I98">
        <v>288</v>
      </c>
      <c r="J98">
        <v>228</v>
      </c>
      <c r="K98">
        <v>120</v>
      </c>
      <c r="L98">
        <v>0</v>
      </c>
      <c r="M98">
        <v>180</v>
      </c>
    </row>
    <row r="99" spans="1:13" x14ac:dyDescent="0.25">
      <c r="A99">
        <v>4866</v>
      </c>
      <c r="B99" t="s">
        <v>91</v>
      </c>
      <c r="C99" t="s">
        <v>314</v>
      </c>
      <c r="D99" t="s">
        <v>14</v>
      </c>
      <c r="F99">
        <v>264</v>
      </c>
      <c r="H99">
        <v>264</v>
      </c>
      <c r="I99">
        <v>192</v>
      </c>
      <c r="J99">
        <v>155</v>
      </c>
      <c r="K99">
        <v>72</v>
      </c>
      <c r="L99">
        <v>0</v>
      </c>
      <c r="M99">
        <v>108</v>
      </c>
    </row>
    <row r="100" spans="1:13" x14ac:dyDescent="0.25">
      <c r="A100">
        <v>4867</v>
      </c>
      <c r="B100" t="s">
        <v>17</v>
      </c>
      <c r="C100" t="s">
        <v>315</v>
      </c>
      <c r="D100" t="s">
        <v>14</v>
      </c>
      <c r="F100">
        <v>432</v>
      </c>
      <c r="H100">
        <v>432</v>
      </c>
      <c r="I100">
        <v>324</v>
      </c>
      <c r="J100">
        <v>228</v>
      </c>
      <c r="K100">
        <v>108</v>
      </c>
      <c r="L100">
        <v>0</v>
      </c>
      <c r="M100">
        <v>204</v>
      </c>
    </row>
    <row r="101" spans="1:13" x14ac:dyDescent="0.25">
      <c r="A101">
        <v>4867</v>
      </c>
      <c r="B101" t="s">
        <v>91</v>
      </c>
      <c r="C101" t="s">
        <v>316</v>
      </c>
      <c r="D101" t="s">
        <v>14</v>
      </c>
      <c r="F101">
        <v>288</v>
      </c>
      <c r="H101">
        <v>288</v>
      </c>
      <c r="I101">
        <v>288</v>
      </c>
      <c r="J101">
        <v>216</v>
      </c>
      <c r="K101">
        <v>0</v>
      </c>
      <c r="L101">
        <v>0</v>
      </c>
      <c r="M101">
        <v>72</v>
      </c>
    </row>
    <row r="102" spans="1:13" x14ac:dyDescent="0.25">
      <c r="A102">
        <v>4868</v>
      </c>
      <c r="B102" t="s">
        <v>17</v>
      </c>
      <c r="C102" t="s">
        <v>317</v>
      </c>
      <c r="D102" t="s">
        <v>14</v>
      </c>
      <c r="F102">
        <v>372</v>
      </c>
      <c r="H102">
        <v>372</v>
      </c>
      <c r="I102">
        <v>180</v>
      </c>
      <c r="J102">
        <v>131</v>
      </c>
      <c r="K102">
        <v>192</v>
      </c>
      <c r="L102">
        <v>0</v>
      </c>
      <c r="M102">
        <v>240</v>
      </c>
    </row>
    <row r="103" spans="1:13" x14ac:dyDescent="0.25">
      <c r="A103">
        <v>4868</v>
      </c>
      <c r="B103" t="s">
        <v>91</v>
      </c>
      <c r="C103" t="s">
        <v>318</v>
      </c>
      <c r="D103" t="s">
        <v>14</v>
      </c>
      <c r="F103">
        <v>180</v>
      </c>
      <c r="H103">
        <v>180</v>
      </c>
      <c r="I103">
        <v>0</v>
      </c>
      <c r="J103" t="s">
        <v>209</v>
      </c>
      <c r="K103">
        <v>180</v>
      </c>
      <c r="L103">
        <v>0</v>
      </c>
      <c r="M103">
        <v>0</v>
      </c>
    </row>
    <row r="104" spans="1:13" x14ac:dyDescent="0.25">
      <c r="A104">
        <v>5848</v>
      </c>
      <c r="B104" t="s">
        <v>319</v>
      </c>
      <c r="C104" t="s">
        <v>320</v>
      </c>
      <c r="D104" t="s">
        <v>14</v>
      </c>
      <c r="E104">
        <v>120</v>
      </c>
      <c r="F104">
        <v>0</v>
      </c>
      <c r="H104">
        <v>120</v>
      </c>
      <c r="I104">
        <v>132</v>
      </c>
      <c r="J104">
        <v>102</v>
      </c>
      <c r="K104">
        <v>-12</v>
      </c>
      <c r="L104">
        <v>0</v>
      </c>
      <c r="M104">
        <v>0</v>
      </c>
    </row>
    <row r="105" spans="1:13" x14ac:dyDescent="0.25">
      <c r="A105">
        <v>5868</v>
      </c>
      <c r="B105" t="s">
        <v>17</v>
      </c>
      <c r="C105" t="s">
        <v>321</v>
      </c>
      <c r="D105" t="s">
        <v>14</v>
      </c>
      <c r="F105">
        <v>405</v>
      </c>
      <c r="H105">
        <v>405</v>
      </c>
      <c r="I105">
        <v>405</v>
      </c>
      <c r="J105">
        <v>360</v>
      </c>
      <c r="K105">
        <v>0</v>
      </c>
      <c r="L105">
        <v>15</v>
      </c>
      <c r="M105">
        <v>30</v>
      </c>
    </row>
    <row r="106" spans="1:13" x14ac:dyDescent="0.25">
      <c r="A106">
        <v>5868</v>
      </c>
      <c r="B106" t="s">
        <v>37</v>
      </c>
      <c r="C106" t="s">
        <v>322</v>
      </c>
      <c r="D106" t="s">
        <v>14</v>
      </c>
      <c r="F106">
        <v>360</v>
      </c>
      <c r="H106">
        <v>360</v>
      </c>
      <c r="I106">
        <v>360</v>
      </c>
      <c r="J106">
        <v>255</v>
      </c>
      <c r="K106">
        <v>0</v>
      </c>
      <c r="L106">
        <v>0</v>
      </c>
      <c r="M106">
        <v>105</v>
      </c>
    </row>
    <row r="107" spans="1:13" x14ac:dyDescent="0.25">
      <c r="A107">
        <v>5868</v>
      </c>
      <c r="B107" t="s">
        <v>48</v>
      </c>
      <c r="C107" t="s">
        <v>323</v>
      </c>
      <c r="D107" t="s">
        <v>14</v>
      </c>
      <c r="F107">
        <v>705</v>
      </c>
      <c r="H107">
        <v>705</v>
      </c>
      <c r="I107">
        <v>795</v>
      </c>
      <c r="J107">
        <v>645</v>
      </c>
      <c r="K107">
        <v>-90</v>
      </c>
      <c r="L107">
        <v>15</v>
      </c>
      <c r="M107">
        <v>45</v>
      </c>
    </row>
    <row r="108" spans="1:13" x14ac:dyDescent="0.25">
      <c r="A108">
        <v>5869</v>
      </c>
      <c r="B108" t="s">
        <v>37</v>
      </c>
      <c r="C108" t="s">
        <v>324</v>
      </c>
      <c r="D108" t="s">
        <v>14</v>
      </c>
      <c r="F108">
        <v>495</v>
      </c>
      <c r="H108">
        <v>495</v>
      </c>
      <c r="I108">
        <v>435</v>
      </c>
      <c r="J108">
        <v>375</v>
      </c>
      <c r="K108">
        <v>60</v>
      </c>
      <c r="L108">
        <v>0</v>
      </c>
      <c r="M108">
        <v>120</v>
      </c>
    </row>
    <row r="109" spans="1:13" x14ac:dyDescent="0.25">
      <c r="A109">
        <v>5869</v>
      </c>
      <c r="B109" t="s">
        <v>48</v>
      </c>
      <c r="C109" t="s">
        <v>325</v>
      </c>
      <c r="D109" t="s">
        <v>14</v>
      </c>
      <c r="F109">
        <v>810</v>
      </c>
      <c r="H109">
        <v>810</v>
      </c>
      <c r="I109">
        <v>795</v>
      </c>
      <c r="J109">
        <v>630</v>
      </c>
      <c r="K109">
        <v>15</v>
      </c>
      <c r="L109">
        <v>0</v>
      </c>
      <c r="M109">
        <v>180</v>
      </c>
    </row>
    <row r="110" spans="1:13" x14ac:dyDescent="0.25">
      <c r="A110">
        <v>5870</v>
      </c>
      <c r="B110" t="s">
        <v>17</v>
      </c>
      <c r="C110" t="s">
        <v>326</v>
      </c>
      <c r="D110" t="s">
        <v>14</v>
      </c>
      <c r="F110">
        <v>360</v>
      </c>
      <c r="H110">
        <v>360</v>
      </c>
      <c r="I110">
        <v>300</v>
      </c>
      <c r="J110">
        <v>270</v>
      </c>
      <c r="K110">
        <v>60</v>
      </c>
      <c r="L110">
        <v>0</v>
      </c>
      <c r="M110">
        <v>90</v>
      </c>
    </row>
    <row r="111" spans="1:13" x14ac:dyDescent="0.25">
      <c r="A111">
        <v>5870</v>
      </c>
      <c r="B111" t="s">
        <v>48</v>
      </c>
      <c r="C111" t="s">
        <v>327</v>
      </c>
      <c r="D111" t="s">
        <v>14</v>
      </c>
      <c r="F111">
        <v>0</v>
      </c>
      <c r="H111">
        <v>0</v>
      </c>
      <c r="I111">
        <v>0</v>
      </c>
      <c r="J111" t="s">
        <v>209</v>
      </c>
      <c r="K111">
        <v>0</v>
      </c>
      <c r="L111">
        <v>0</v>
      </c>
      <c r="M111">
        <v>0</v>
      </c>
    </row>
    <row r="112" spans="1:13" x14ac:dyDescent="0.25">
      <c r="A112">
        <v>5870</v>
      </c>
      <c r="B112" t="s">
        <v>177</v>
      </c>
      <c r="C112" t="s">
        <v>328</v>
      </c>
      <c r="D112" t="s">
        <v>14</v>
      </c>
      <c r="F112">
        <v>420</v>
      </c>
      <c r="H112">
        <v>420</v>
      </c>
      <c r="I112">
        <v>330</v>
      </c>
      <c r="J112">
        <v>225</v>
      </c>
      <c r="K112">
        <v>90</v>
      </c>
      <c r="L112">
        <v>0</v>
      </c>
      <c r="M112">
        <v>195</v>
      </c>
    </row>
    <row r="113" spans="1:13" x14ac:dyDescent="0.25">
      <c r="A113">
        <v>5871</v>
      </c>
      <c r="B113" t="s">
        <v>17</v>
      </c>
      <c r="C113" t="s">
        <v>329</v>
      </c>
      <c r="D113" t="s">
        <v>14</v>
      </c>
      <c r="F113">
        <v>780</v>
      </c>
      <c r="H113">
        <v>780</v>
      </c>
      <c r="I113">
        <v>780</v>
      </c>
      <c r="J113">
        <v>615</v>
      </c>
      <c r="K113">
        <v>0</v>
      </c>
      <c r="L113">
        <v>0</v>
      </c>
      <c r="M113">
        <v>165</v>
      </c>
    </row>
    <row r="114" spans="1:13" x14ac:dyDescent="0.25">
      <c r="A114">
        <v>5871</v>
      </c>
      <c r="B114" t="s">
        <v>34</v>
      </c>
      <c r="C114" t="s">
        <v>330</v>
      </c>
      <c r="D114" t="s">
        <v>14</v>
      </c>
      <c r="F114">
        <v>405</v>
      </c>
      <c r="H114">
        <v>405</v>
      </c>
      <c r="I114">
        <v>465</v>
      </c>
      <c r="J114">
        <v>405</v>
      </c>
      <c r="K114">
        <v>-60</v>
      </c>
      <c r="L114">
        <v>0</v>
      </c>
      <c r="M114">
        <v>0</v>
      </c>
    </row>
    <row r="115" spans="1:13" x14ac:dyDescent="0.25">
      <c r="A115">
        <v>5871</v>
      </c>
      <c r="B115" t="s">
        <v>117</v>
      </c>
      <c r="C115" t="s">
        <v>331</v>
      </c>
      <c r="D115" t="s">
        <v>14</v>
      </c>
      <c r="F115">
        <v>1050</v>
      </c>
      <c r="H115">
        <v>1050</v>
      </c>
      <c r="I115">
        <v>1245</v>
      </c>
      <c r="J115">
        <v>1050</v>
      </c>
      <c r="K115">
        <v>-195</v>
      </c>
      <c r="L115">
        <v>0</v>
      </c>
      <c r="M115">
        <v>0</v>
      </c>
    </row>
    <row r="116" spans="1:13" x14ac:dyDescent="0.25">
      <c r="A116">
        <v>5872</v>
      </c>
      <c r="B116" t="s">
        <v>17</v>
      </c>
      <c r="C116" t="s">
        <v>332</v>
      </c>
      <c r="D116" t="s">
        <v>14</v>
      </c>
      <c r="F116">
        <v>585</v>
      </c>
      <c r="H116">
        <v>585</v>
      </c>
      <c r="I116">
        <v>660</v>
      </c>
      <c r="J116">
        <v>540</v>
      </c>
      <c r="K116">
        <v>-75</v>
      </c>
      <c r="L116">
        <v>0</v>
      </c>
      <c r="M116">
        <v>15</v>
      </c>
    </row>
    <row r="117" spans="1:13" x14ac:dyDescent="0.25">
      <c r="A117">
        <v>5872</v>
      </c>
      <c r="B117" t="s">
        <v>34</v>
      </c>
      <c r="C117" t="s">
        <v>333</v>
      </c>
      <c r="D117" t="s">
        <v>14</v>
      </c>
      <c r="F117">
        <v>360</v>
      </c>
      <c r="H117">
        <v>360</v>
      </c>
      <c r="I117">
        <v>375</v>
      </c>
      <c r="J117">
        <v>285</v>
      </c>
      <c r="K117">
        <v>-15</v>
      </c>
      <c r="L117">
        <v>0</v>
      </c>
      <c r="M117">
        <v>45</v>
      </c>
    </row>
    <row r="118" spans="1:13" x14ac:dyDescent="0.25">
      <c r="A118">
        <v>5872</v>
      </c>
      <c r="B118" t="s">
        <v>48</v>
      </c>
      <c r="C118" t="s">
        <v>334</v>
      </c>
      <c r="D118" t="s">
        <v>14</v>
      </c>
      <c r="F118">
        <v>360</v>
      </c>
      <c r="H118">
        <v>360</v>
      </c>
      <c r="I118">
        <v>255</v>
      </c>
      <c r="J118">
        <v>195</v>
      </c>
      <c r="K118">
        <v>105</v>
      </c>
      <c r="L118">
        <v>0</v>
      </c>
      <c r="M118">
        <v>165</v>
      </c>
    </row>
    <row r="119" spans="1:13" x14ac:dyDescent="0.25">
      <c r="A119">
        <v>5902</v>
      </c>
      <c r="B119" t="s">
        <v>60</v>
      </c>
      <c r="C119" t="s">
        <v>335</v>
      </c>
      <c r="D119" t="s">
        <v>16</v>
      </c>
      <c r="E119">
        <v>156</v>
      </c>
      <c r="F119">
        <v>0</v>
      </c>
      <c r="H119">
        <v>156</v>
      </c>
      <c r="I119">
        <v>12</v>
      </c>
      <c r="J119">
        <v>863</v>
      </c>
      <c r="K119">
        <v>144</v>
      </c>
      <c r="L119">
        <v>0</v>
      </c>
      <c r="M119">
        <v>120</v>
      </c>
    </row>
    <row r="120" spans="1:13" x14ac:dyDescent="0.25">
      <c r="A120">
        <v>6000</v>
      </c>
      <c r="B120" t="s">
        <v>60</v>
      </c>
      <c r="C120" t="s">
        <v>336</v>
      </c>
      <c r="D120" t="s">
        <v>224</v>
      </c>
      <c r="E120">
        <v>840</v>
      </c>
      <c r="F120">
        <v>0</v>
      </c>
      <c r="H120">
        <v>840</v>
      </c>
      <c r="I120">
        <v>0</v>
      </c>
      <c r="J120">
        <v>72</v>
      </c>
      <c r="K120">
        <v>840</v>
      </c>
      <c r="L120">
        <v>0</v>
      </c>
      <c r="M120">
        <v>732</v>
      </c>
    </row>
    <row r="121" spans="1:13" x14ac:dyDescent="0.25">
      <c r="A121">
        <v>6001</v>
      </c>
      <c r="B121" t="s">
        <v>60</v>
      </c>
      <c r="C121" t="s">
        <v>337</v>
      </c>
      <c r="D121" t="s">
        <v>16</v>
      </c>
      <c r="E121">
        <v>795</v>
      </c>
      <c r="F121">
        <v>0</v>
      </c>
      <c r="H121">
        <v>795</v>
      </c>
      <c r="I121">
        <v>0</v>
      </c>
      <c r="J121">
        <v>164</v>
      </c>
      <c r="K121">
        <v>795</v>
      </c>
      <c r="L121">
        <v>0</v>
      </c>
      <c r="M121">
        <v>570</v>
      </c>
    </row>
    <row r="122" spans="1:13" x14ac:dyDescent="0.25">
      <c r="A122">
        <v>6518</v>
      </c>
      <c r="B122" t="s">
        <v>17</v>
      </c>
      <c r="C122" t="s">
        <v>338</v>
      </c>
      <c r="D122" t="s">
        <v>14</v>
      </c>
      <c r="F122">
        <v>144</v>
      </c>
      <c r="H122">
        <v>144</v>
      </c>
      <c r="I122">
        <v>192</v>
      </c>
      <c r="J122">
        <v>144</v>
      </c>
      <c r="K122">
        <v>-48</v>
      </c>
      <c r="L122">
        <v>0</v>
      </c>
      <c r="M122">
        <v>0</v>
      </c>
    </row>
    <row r="123" spans="1:13" x14ac:dyDescent="0.25">
      <c r="A123">
        <v>6518</v>
      </c>
      <c r="B123" t="s">
        <v>17</v>
      </c>
      <c r="C123" t="s">
        <v>339</v>
      </c>
      <c r="D123" t="s">
        <v>16</v>
      </c>
      <c r="F123">
        <v>348</v>
      </c>
      <c r="H123">
        <v>348</v>
      </c>
      <c r="I123">
        <v>396</v>
      </c>
      <c r="J123">
        <v>348</v>
      </c>
      <c r="K123">
        <v>-48</v>
      </c>
      <c r="L123">
        <v>0</v>
      </c>
      <c r="M123">
        <v>0</v>
      </c>
    </row>
    <row r="124" spans="1:13" x14ac:dyDescent="0.25">
      <c r="A124">
        <v>6518</v>
      </c>
      <c r="B124" t="s">
        <v>17</v>
      </c>
      <c r="C124" t="s">
        <v>340</v>
      </c>
      <c r="D124" t="s">
        <v>224</v>
      </c>
      <c r="F124">
        <v>504</v>
      </c>
      <c r="H124">
        <v>504</v>
      </c>
      <c r="I124">
        <v>588</v>
      </c>
      <c r="J124">
        <v>492</v>
      </c>
      <c r="K124">
        <v>-84</v>
      </c>
      <c r="L124">
        <v>0</v>
      </c>
      <c r="M124">
        <v>12</v>
      </c>
    </row>
    <row r="125" spans="1:13" x14ac:dyDescent="0.25">
      <c r="A125">
        <v>6518</v>
      </c>
      <c r="B125" t="s">
        <v>34</v>
      </c>
      <c r="C125" t="s">
        <v>341</v>
      </c>
      <c r="D125" t="s">
        <v>14</v>
      </c>
      <c r="F125">
        <v>180</v>
      </c>
      <c r="H125">
        <v>180</v>
      </c>
      <c r="I125">
        <v>240</v>
      </c>
      <c r="J125">
        <v>180</v>
      </c>
      <c r="K125">
        <v>-60</v>
      </c>
      <c r="L125">
        <v>0</v>
      </c>
      <c r="M125">
        <v>0</v>
      </c>
    </row>
    <row r="126" spans="1:13" x14ac:dyDescent="0.25">
      <c r="A126">
        <v>6518</v>
      </c>
      <c r="B126" t="s">
        <v>34</v>
      </c>
      <c r="C126" t="s">
        <v>342</v>
      </c>
      <c r="D126" t="s">
        <v>16</v>
      </c>
      <c r="F126">
        <v>432</v>
      </c>
      <c r="H126">
        <v>432</v>
      </c>
      <c r="I126">
        <v>468</v>
      </c>
      <c r="J126">
        <v>432</v>
      </c>
      <c r="K126">
        <v>-36</v>
      </c>
      <c r="L126">
        <v>0</v>
      </c>
      <c r="M126">
        <v>0</v>
      </c>
    </row>
    <row r="127" spans="1:13" x14ac:dyDescent="0.25">
      <c r="A127">
        <v>6519</v>
      </c>
      <c r="B127" t="s">
        <v>17</v>
      </c>
      <c r="C127" t="s">
        <v>343</v>
      </c>
      <c r="D127" t="s">
        <v>14</v>
      </c>
      <c r="F127">
        <v>204</v>
      </c>
      <c r="H127">
        <v>204</v>
      </c>
      <c r="I127">
        <v>252</v>
      </c>
      <c r="J127">
        <v>204</v>
      </c>
      <c r="K127">
        <v>-48</v>
      </c>
      <c r="L127">
        <v>0</v>
      </c>
      <c r="M127">
        <v>0</v>
      </c>
    </row>
    <row r="128" spans="1:13" x14ac:dyDescent="0.25">
      <c r="A128">
        <v>6519</v>
      </c>
      <c r="B128" t="s">
        <v>17</v>
      </c>
      <c r="C128" t="s">
        <v>344</v>
      </c>
      <c r="D128" t="s">
        <v>16</v>
      </c>
      <c r="F128">
        <v>408</v>
      </c>
      <c r="H128">
        <v>408</v>
      </c>
      <c r="I128">
        <v>480</v>
      </c>
      <c r="J128">
        <v>408</v>
      </c>
      <c r="K128">
        <v>-72</v>
      </c>
      <c r="L128">
        <v>0</v>
      </c>
      <c r="M128">
        <v>0</v>
      </c>
    </row>
    <row r="129" spans="1:13" x14ac:dyDescent="0.25">
      <c r="A129">
        <v>6519</v>
      </c>
      <c r="B129" t="s">
        <v>17</v>
      </c>
      <c r="C129" t="s">
        <v>345</v>
      </c>
      <c r="D129" t="s">
        <v>224</v>
      </c>
      <c r="F129">
        <v>504</v>
      </c>
      <c r="H129">
        <v>504</v>
      </c>
      <c r="I129">
        <v>588</v>
      </c>
      <c r="J129">
        <v>504</v>
      </c>
      <c r="K129">
        <v>-84</v>
      </c>
      <c r="L129">
        <v>0</v>
      </c>
      <c r="M129">
        <v>0</v>
      </c>
    </row>
    <row r="130" spans="1:13" x14ac:dyDescent="0.25">
      <c r="A130">
        <v>6606</v>
      </c>
      <c r="B130" t="s">
        <v>48</v>
      </c>
      <c r="C130" t="s">
        <v>346</v>
      </c>
      <c r="D130" t="s">
        <v>16</v>
      </c>
      <c r="E130">
        <v>0</v>
      </c>
      <c r="F130">
        <v>2400</v>
      </c>
      <c r="H130">
        <v>2400</v>
      </c>
      <c r="I130">
        <v>2090</v>
      </c>
      <c r="J130">
        <v>1877</v>
      </c>
      <c r="K130">
        <v>310</v>
      </c>
      <c r="L130">
        <v>0</v>
      </c>
      <c r="M130">
        <v>570</v>
      </c>
    </row>
    <row r="131" spans="1:13" x14ac:dyDescent="0.25">
      <c r="A131" t="s">
        <v>347</v>
      </c>
      <c r="B131" t="s">
        <v>177</v>
      </c>
      <c r="C131" t="s">
        <v>348</v>
      </c>
      <c r="D131" t="s">
        <v>217</v>
      </c>
      <c r="E131" t="s">
        <v>349</v>
      </c>
      <c r="F131">
        <v>0</v>
      </c>
      <c r="H131">
        <v>225</v>
      </c>
      <c r="I131">
        <v>0</v>
      </c>
      <c r="J131" t="s">
        <v>209</v>
      </c>
      <c r="K131">
        <v>225</v>
      </c>
      <c r="L131">
        <v>0</v>
      </c>
      <c r="M131">
        <v>0</v>
      </c>
    </row>
    <row r="132" spans="1:13" x14ac:dyDescent="0.25">
      <c r="A132">
        <v>9447</v>
      </c>
      <c r="B132" t="s">
        <v>48</v>
      </c>
      <c r="C132" t="s">
        <v>350</v>
      </c>
      <c r="D132" t="s">
        <v>14</v>
      </c>
      <c r="E132">
        <v>30</v>
      </c>
      <c r="F132">
        <v>300</v>
      </c>
      <c r="H132">
        <v>330</v>
      </c>
      <c r="I132">
        <v>495</v>
      </c>
      <c r="J132">
        <v>327</v>
      </c>
      <c r="K132">
        <v>-165</v>
      </c>
      <c r="L132">
        <v>15</v>
      </c>
      <c r="M132">
        <v>20</v>
      </c>
    </row>
    <row r="133" spans="1:13" x14ac:dyDescent="0.25">
      <c r="A133">
        <v>9448</v>
      </c>
      <c r="B133" t="s">
        <v>177</v>
      </c>
      <c r="C133" t="s">
        <v>351</v>
      </c>
      <c r="D133" t="s">
        <v>16</v>
      </c>
      <c r="E133">
        <v>-75</v>
      </c>
      <c r="F133">
        <v>4140</v>
      </c>
      <c r="G133" t="e">
        <f>F133+#REF!</f>
        <v>#REF!</v>
      </c>
      <c r="H133">
        <v>4065</v>
      </c>
      <c r="I133">
        <v>2168</v>
      </c>
      <c r="J133">
        <v>2255</v>
      </c>
      <c r="K133">
        <v>1897</v>
      </c>
      <c r="L133">
        <v>510</v>
      </c>
      <c r="M133">
        <v>1661</v>
      </c>
    </row>
    <row r="134" spans="1:13" x14ac:dyDescent="0.25">
      <c r="A134">
        <v>9476</v>
      </c>
      <c r="B134" t="s">
        <v>117</v>
      </c>
      <c r="C134" t="s">
        <v>352</v>
      </c>
      <c r="D134" t="s">
        <v>14</v>
      </c>
      <c r="F134">
        <v>1005</v>
      </c>
      <c r="H134">
        <v>1005</v>
      </c>
      <c r="I134">
        <v>1035</v>
      </c>
      <c r="J134">
        <v>780</v>
      </c>
      <c r="K134">
        <v>-30</v>
      </c>
      <c r="L134">
        <v>15</v>
      </c>
      <c r="M134">
        <v>210</v>
      </c>
    </row>
    <row r="135" spans="1:13" x14ac:dyDescent="0.25">
      <c r="A135">
        <v>9480</v>
      </c>
      <c r="B135" t="s">
        <v>91</v>
      </c>
      <c r="C135" t="s">
        <v>353</v>
      </c>
      <c r="D135" t="s">
        <v>14</v>
      </c>
      <c r="F135">
        <v>315</v>
      </c>
      <c r="H135">
        <v>315</v>
      </c>
      <c r="I135">
        <v>180</v>
      </c>
      <c r="J135">
        <v>165</v>
      </c>
      <c r="K135">
        <v>135</v>
      </c>
      <c r="L135">
        <v>0</v>
      </c>
      <c r="M135">
        <v>150</v>
      </c>
    </row>
    <row r="136" spans="1:13" x14ac:dyDescent="0.25">
      <c r="A136">
        <v>9480</v>
      </c>
      <c r="B136" t="s">
        <v>37</v>
      </c>
      <c r="C136" t="s">
        <v>354</v>
      </c>
      <c r="D136" t="s">
        <v>14</v>
      </c>
      <c r="F136">
        <v>495</v>
      </c>
      <c r="H136">
        <v>495</v>
      </c>
      <c r="I136">
        <v>270</v>
      </c>
      <c r="J136">
        <v>195</v>
      </c>
      <c r="K136">
        <v>225</v>
      </c>
      <c r="L136">
        <v>120</v>
      </c>
      <c r="M136">
        <v>180</v>
      </c>
    </row>
    <row r="137" spans="1:13" x14ac:dyDescent="0.25">
      <c r="A137">
        <v>9743</v>
      </c>
      <c r="B137" t="s">
        <v>17</v>
      </c>
      <c r="C137" t="s">
        <v>211</v>
      </c>
      <c r="D137" t="s">
        <v>14</v>
      </c>
      <c r="F137">
        <v>300</v>
      </c>
      <c r="H137">
        <v>300</v>
      </c>
      <c r="I137">
        <v>390</v>
      </c>
      <c r="J137">
        <v>300</v>
      </c>
      <c r="K137">
        <v>-90</v>
      </c>
      <c r="L137">
        <v>0</v>
      </c>
      <c r="M137">
        <v>0</v>
      </c>
    </row>
    <row r="138" spans="1:13" x14ac:dyDescent="0.25">
      <c r="A138">
        <v>9743</v>
      </c>
      <c r="B138" t="s">
        <v>91</v>
      </c>
      <c r="C138" t="s">
        <v>212</v>
      </c>
      <c r="D138" t="s">
        <v>14</v>
      </c>
      <c r="F138">
        <v>300</v>
      </c>
      <c r="H138">
        <v>300</v>
      </c>
      <c r="I138">
        <v>330</v>
      </c>
      <c r="J138">
        <v>210</v>
      </c>
      <c r="K138">
        <v>-30</v>
      </c>
      <c r="L138">
        <v>0</v>
      </c>
      <c r="M138">
        <v>60</v>
      </c>
    </row>
    <row r="139" spans="1:13" x14ac:dyDescent="0.25">
      <c r="A139">
        <v>9752</v>
      </c>
      <c r="B139" t="s">
        <v>17</v>
      </c>
      <c r="C139" t="s">
        <v>355</v>
      </c>
      <c r="D139" t="s">
        <v>14</v>
      </c>
      <c r="F139">
        <v>330</v>
      </c>
      <c r="H139">
        <v>330</v>
      </c>
      <c r="I139">
        <v>315</v>
      </c>
      <c r="J139">
        <v>255</v>
      </c>
      <c r="K139">
        <v>15</v>
      </c>
      <c r="L139">
        <v>0</v>
      </c>
      <c r="M139">
        <v>75</v>
      </c>
    </row>
    <row r="140" spans="1:13" x14ac:dyDescent="0.25">
      <c r="A140">
        <v>9752</v>
      </c>
      <c r="B140" t="s">
        <v>91</v>
      </c>
      <c r="C140" t="s">
        <v>356</v>
      </c>
      <c r="D140" t="s">
        <v>14</v>
      </c>
      <c r="F140">
        <v>300</v>
      </c>
      <c r="H140">
        <v>300</v>
      </c>
      <c r="I140">
        <v>345</v>
      </c>
      <c r="J140">
        <v>284</v>
      </c>
      <c r="K140">
        <v>-45</v>
      </c>
      <c r="L140">
        <v>0</v>
      </c>
      <c r="M140">
        <v>15</v>
      </c>
    </row>
    <row r="141" spans="1:13" x14ac:dyDescent="0.25">
      <c r="A141">
        <v>9759</v>
      </c>
      <c r="B141" t="s">
        <v>17</v>
      </c>
      <c r="C141" t="s">
        <v>213</v>
      </c>
      <c r="D141" t="s">
        <v>14</v>
      </c>
      <c r="F141">
        <v>300</v>
      </c>
      <c r="H141">
        <v>300</v>
      </c>
      <c r="I141">
        <v>165</v>
      </c>
      <c r="J141">
        <v>103</v>
      </c>
      <c r="K141">
        <v>135</v>
      </c>
      <c r="L141">
        <v>0</v>
      </c>
      <c r="M141">
        <v>195</v>
      </c>
    </row>
    <row r="142" spans="1:13" x14ac:dyDescent="0.25">
      <c r="A142">
        <v>9759</v>
      </c>
      <c r="B142" t="s">
        <v>91</v>
      </c>
      <c r="C142" t="s">
        <v>214</v>
      </c>
      <c r="D142" t="s">
        <v>14</v>
      </c>
      <c r="F142">
        <v>300</v>
      </c>
      <c r="H142">
        <v>300</v>
      </c>
      <c r="I142">
        <v>180</v>
      </c>
      <c r="J142">
        <v>90</v>
      </c>
      <c r="K142">
        <v>120</v>
      </c>
      <c r="L142">
        <v>0</v>
      </c>
      <c r="M142">
        <v>210</v>
      </c>
    </row>
    <row r="143" spans="1:13" x14ac:dyDescent="0.25">
      <c r="A143">
        <v>9759</v>
      </c>
      <c r="B143" t="s">
        <v>34</v>
      </c>
      <c r="C143" t="s">
        <v>357</v>
      </c>
      <c r="D143" t="s">
        <v>14</v>
      </c>
      <c r="F143">
        <v>0</v>
      </c>
      <c r="H143">
        <v>0</v>
      </c>
      <c r="I143">
        <v>0</v>
      </c>
      <c r="J143" t="s">
        <v>209</v>
      </c>
      <c r="K143">
        <v>0</v>
      </c>
      <c r="L143">
        <v>0</v>
      </c>
      <c r="M143">
        <v>0</v>
      </c>
    </row>
    <row r="144" spans="1:13" x14ac:dyDescent="0.25">
      <c r="A144">
        <v>9763</v>
      </c>
      <c r="B144" t="s">
        <v>17</v>
      </c>
      <c r="C144" t="s">
        <v>358</v>
      </c>
      <c r="D144" t="s">
        <v>14</v>
      </c>
      <c r="F144">
        <v>0</v>
      </c>
      <c r="H144">
        <v>0</v>
      </c>
      <c r="I144">
        <v>0</v>
      </c>
      <c r="J144" t="s">
        <v>209</v>
      </c>
      <c r="K144">
        <v>0</v>
      </c>
      <c r="L144">
        <v>0</v>
      </c>
      <c r="M144">
        <v>0</v>
      </c>
    </row>
    <row r="145" spans="1:13" x14ac:dyDescent="0.25">
      <c r="A145">
        <v>9763</v>
      </c>
      <c r="B145" t="s">
        <v>91</v>
      </c>
      <c r="C145" t="s">
        <v>359</v>
      </c>
      <c r="D145" t="s">
        <v>14</v>
      </c>
      <c r="F145">
        <v>1005</v>
      </c>
      <c r="H145">
        <v>1005</v>
      </c>
      <c r="I145">
        <v>1080</v>
      </c>
      <c r="J145">
        <v>885</v>
      </c>
      <c r="K145">
        <v>-75</v>
      </c>
      <c r="L145">
        <v>0</v>
      </c>
      <c r="M145">
        <v>135</v>
      </c>
    </row>
    <row r="146" spans="1:13" x14ac:dyDescent="0.25">
      <c r="A146">
        <v>9764</v>
      </c>
      <c r="B146" t="s">
        <v>91</v>
      </c>
      <c r="C146" t="s">
        <v>360</v>
      </c>
      <c r="D146" t="s">
        <v>14</v>
      </c>
      <c r="F146">
        <v>600</v>
      </c>
      <c r="H146">
        <v>600</v>
      </c>
      <c r="I146">
        <v>465</v>
      </c>
      <c r="J146">
        <v>330</v>
      </c>
      <c r="K146">
        <v>135</v>
      </c>
      <c r="L146">
        <v>0</v>
      </c>
      <c r="M146">
        <v>270</v>
      </c>
    </row>
    <row r="147" spans="1:13" x14ac:dyDescent="0.25">
      <c r="A147">
        <v>9765</v>
      </c>
      <c r="B147" t="s">
        <v>91</v>
      </c>
      <c r="C147" t="s">
        <v>361</v>
      </c>
      <c r="D147" t="s">
        <v>14</v>
      </c>
      <c r="F147">
        <v>315</v>
      </c>
      <c r="H147">
        <v>315</v>
      </c>
      <c r="I147">
        <v>270</v>
      </c>
      <c r="J147">
        <v>255</v>
      </c>
      <c r="K147">
        <v>45</v>
      </c>
      <c r="L147">
        <v>0</v>
      </c>
      <c r="M147">
        <v>60</v>
      </c>
    </row>
    <row r="148" spans="1:13" x14ac:dyDescent="0.25">
      <c r="A148">
        <v>9765</v>
      </c>
      <c r="B148" t="s">
        <v>37</v>
      </c>
      <c r="C148" t="s">
        <v>362</v>
      </c>
      <c r="D148" t="s">
        <v>14</v>
      </c>
      <c r="F148">
        <v>405</v>
      </c>
      <c r="H148">
        <v>405</v>
      </c>
      <c r="I148">
        <v>360</v>
      </c>
      <c r="J148">
        <v>315</v>
      </c>
      <c r="K148">
        <v>45</v>
      </c>
      <c r="L148">
        <v>0</v>
      </c>
      <c r="M148">
        <v>90</v>
      </c>
    </row>
    <row r="149" spans="1:13" x14ac:dyDescent="0.25">
      <c r="A149">
        <v>9839</v>
      </c>
      <c r="B149" t="s">
        <v>60</v>
      </c>
      <c r="C149" t="s">
        <v>363</v>
      </c>
      <c r="D149" t="s">
        <v>16</v>
      </c>
      <c r="E149">
        <v>549</v>
      </c>
      <c r="F149">
        <v>0</v>
      </c>
      <c r="H149">
        <v>549</v>
      </c>
      <c r="I149">
        <v>48</v>
      </c>
      <c r="J149">
        <v>264</v>
      </c>
      <c r="K149">
        <v>501</v>
      </c>
      <c r="L149">
        <v>0</v>
      </c>
      <c r="M149">
        <v>285</v>
      </c>
    </row>
    <row r="150" spans="1:13" x14ac:dyDescent="0.25">
      <c r="A150" t="s">
        <v>364</v>
      </c>
      <c r="B150" t="s">
        <v>37</v>
      </c>
      <c r="C150" t="s">
        <v>365</v>
      </c>
      <c r="D150" t="s">
        <v>16</v>
      </c>
      <c r="E150">
        <v>0</v>
      </c>
      <c r="F150">
        <v>0</v>
      </c>
      <c r="H150">
        <v>0</v>
      </c>
      <c r="I150">
        <v>60</v>
      </c>
      <c r="J150">
        <v>-2</v>
      </c>
      <c r="K150">
        <v>-60</v>
      </c>
      <c r="L150">
        <v>0</v>
      </c>
      <c r="M150">
        <v>0</v>
      </c>
    </row>
    <row r="151" spans="1:13" x14ac:dyDescent="0.25">
      <c r="A151" t="s">
        <v>366</v>
      </c>
      <c r="B151" t="s">
        <v>60</v>
      </c>
      <c r="C151" t="s">
        <v>367</v>
      </c>
      <c r="D151" t="s">
        <v>16</v>
      </c>
      <c r="E151">
        <v>454</v>
      </c>
      <c r="F151">
        <v>0</v>
      </c>
      <c r="H151">
        <v>454</v>
      </c>
      <c r="I151">
        <v>36</v>
      </c>
      <c r="J151">
        <v>396</v>
      </c>
      <c r="K151">
        <v>418</v>
      </c>
      <c r="L151">
        <v>0</v>
      </c>
      <c r="M151">
        <v>12</v>
      </c>
    </row>
    <row r="152" spans="1:13" x14ac:dyDescent="0.25">
      <c r="A152">
        <v>9863</v>
      </c>
      <c r="B152" t="s">
        <v>117</v>
      </c>
      <c r="C152" t="s">
        <v>368</v>
      </c>
      <c r="D152" t="s">
        <v>16</v>
      </c>
      <c r="E152">
        <v>18</v>
      </c>
      <c r="F152">
        <v>0</v>
      </c>
      <c r="H152">
        <v>18</v>
      </c>
      <c r="I152">
        <v>18</v>
      </c>
      <c r="J152">
        <v>18</v>
      </c>
      <c r="K152">
        <v>0</v>
      </c>
      <c r="L152">
        <v>0</v>
      </c>
      <c r="M152">
        <v>0</v>
      </c>
    </row>
    <row r="153" spans="1:13" x14ac:dyDescent="0.25">
      <c r="A153">
        <v>9868</v>
      </c>
      <c r="B153" t="s">
        <v>48</v>
      </c>
      <c r="C153" t="s">
        <v>369</v>
      </c>
      <c r="D153" t="s">
        <v>16</v>
      </c>
      <c r="E153">
        <v>60</v>
      </c>
      <c r="F153">
        <v>0</v>
      </c>
      <c r="G153">
        <v>300</v>
      </c>
      <c r="H153">
        <v>360</v>
      </c>
      <c r="I153">
        <v>90</v>
      </c>
      <c r="J153">
        <v>285</v>
      </c>
      <c r="K153">
        <v>270</v>
      </c>
      <c r="L153">
        <v>0</v>
      </c>
      <c r="M153">
        <v>255</v>
      </c>
    </row>
    <row r="154" spans="1:13" x14ac:dyDescent="0.25">
      <c r="A154" t="s">
        <v>370</v>
      </c>
      <c r="B154" t="s">
        <v>37</v>
      </c>
      <c r="C154" t="s">
        <v>371</v>
      </c>
      <c r="D154" t="s">
        <v>16</v>
      </c>
      <c r="E154">
        <v>195</v>
      </c>
      <c r="F154">
        <v>0</v>
      </c>
      <c r="H154">
        <v>195</v>
      </c>
      <c r="I154">
        <v>165</v>
      </c>
      <c r="J154">
        <v>239</v>
      </c>
      <c r="K154">
        <v>30</v>
      </c>
      <c r="L154">
        <v>0</v>
      </c>
      <c r="M154">
        <v>0</v>
      </c>
    </row>
    <row r="155" spans="1:13" x14ac:dyDescent="0.25">
      <c r="A155">
        <v>9876</v>
      </c>
      <c r="B155" t="s">
        <v>60</v>
      </c>
      <c r="C155" t="s">
        <v>372</v>
      </c>
      <c r="D155" t="s">
        <v>217</v>
      </c>
      <c r="E155">
        <v>166</v>
      </c>
      <c r="F155">
        <v>0</v>
      </c>
      <c r="H155">
        <v>166</v>
      </c>
      <c r="I155">
        <v>48</v>
      </c>
      <c r="J155">
        <v>36</v>
      </c>
      <c r="K155">
        <v>118</v>
      </c>
      <c r="L155">
        <v>0</v>
      </c>
      <c r="M155">
        <v>81</v>
      </c>
    </row>
    <row r="156" spans="1:13" x14ac:dyDescent="0.25">
      <c r="A156">
        <v>9877</v>
      </c>
      <c r="B156" t="s">
        <v>60</v>
      </c>
      <c r="C156" t="s">
        <v>373</v>
      </c>
      <c r="D156" t="s">
        <v>217</v>
      </c>
      <c r="E156">
        <v>48</v>
      </c>
      <c r="F156">
        <v>0</v>
      </c>
      <c r="H156">
        <v>48</v>
      </c>
      <c r="I156">
        <v>24</v>
      </c>
      <c r="J156">
        <v>24</v>
      </c>
      <c r="K156">
        <v>24</v>
      </c>
      <c r="L156">
        <v>12</v>
      </c>
      <c r="M156">
        <v>12</v>
      </c>
    </row>
    <row r="157" spans="1:13" x14ac:dyDescent="0.25">
      <c r="A157">
        <v>9879</v>
      </c>
      <c r="B157" t="s">
        <v>60</v>
      </c>
      <c r="C157" t="s">
        <v>374</v>
      </c>
      <c r="D157" t="s">
        <v>217</v>
      </c>
      <c r="E157">
        <v>0</v>
      </c>
      <c r="F157">
        <v>0</v>
      </c>
      <c r="H157">
        <v>0</v>
      </c>
      <c r="I157">
        <v>12</v>
      </c>
      <c r="J157" t="s">
        <v>209</v>
      </c>
      <c r="K157">
        <v>-12</v>
      </c>
      <c r="L157">
        <v>0</v>
      </c>
      <c r="M157">
        <v>0</v>
      </c>
    </row>
    <row r="158" spans="1:13" x14ac:dyDescent="0.25">
      <c r="A158">
        <v>9883</v>
      </c>
      <c r="B158" t="s">
        <v>17</v>
      </c>
      <c r="C158" t="s">
        <v>375</v>
      </c>
      <c r="D158" t="s">
        <v>14</v>
      </c>
      <c r="E158">
        <v>120</v>
      </c>
      <c r="F158">
        <v>0</v>
      </c>
      <c r="H158">
        <v>120</v>
      </c>
      <c r="I158">
        <v>181</v>
      </c>
      <c r="J158">
        <v>417</v>
      </c>
      <c r="K158">
        <v>-61</v>
      </c>
      <c r="L158">
        <v>0</v>
      </c>
      <c r="M158">
        <v>90</v>
      </c>
    </row>
    <row r="159" spans="1:13" x14ac:dyDescent="0.25">
      <c r="A159">
        <v>9883</v>
      </c>
      <c r="B159" t="s">
        <v>34</v>
      </c>
      <c r="C159" t="s">
        <v>376</v>
      </c>
      <c r="D159" t="s">
        <v>14</v>
      </c>
      <c r="E159">
        <v>75</v>
      </c>
      <c r="F159">
        <v>0</v>
      </c>
      <c r="H159">
        <v>75</v>
      </c>
      <c r="I159">
        <v>150</v>
      </c>
      <c r="J159">
        <v>405</v>
      </c>
      <c r="K159">
        <v>-75</v>
      </c>
      <c r="L159">
        <v>0</v>
      </c>
      <c r="M159">
        <v>105</v>
      </c>
    </row>
    <row r="160" spans="1:13" x14ac:dyDescent="0.25">
      <c r="A160">
        <v>9883</v>
      </c>
      <c r="B160" t="s">
        <v>48</v>
      </c>
      <c r="C160" t="s">
        <v>377</v>
      </c>
      <c r="D160" t="s">
        <v>14</v>
      </c>
      <c r="E160">
        <v>180</v>
      </c>
      <c r="F160">
        <v>0</v>
      </c>
      <c r="H160">
        <v>180</v>
      </c>
      <c r="I160">
        <v>120</v>
      </c>
      <c r="J160">
        <v>285</v>
      </c>
      <c r="K160">
        <v>60</v>
      </c>
      <c r="L160">
        <v>0</v>
      </c>
      <c r="M160">
        <v>225</v>
      </c>
    </row>
    <row r="161" spans="1:13" x14ac:dyDescent="0.25">
      <c r="A161">
        <v>9886</v>
      </c>
      <c r="B161" t="s">
        <v>12</v>
      </c>
      <c r="C161" t="s">
        <v>378</v>
      </c>
      <c r="D161" t="s">
        <v>14</v>
      </c>
      <c r="F161">
        <v>600</v>
      </c>
      <c r="H161">
        <v>600</v>
      </c>
      <c r="I161">
        <v>765</v>
      </c>
      <c r="J161">
        <v>480</v>
      </c>
      <c r="K161">
        <v>-165</v>
      </c>
      <c r="L161">
        <v>60</v>
      </c>
      <c r="M161">
        <v>75</v>
      </c>
    </row>
    <row r="162" spans="1:13" x14ac:dyDescent="0.25">
      <c r="A162">
        <v>9886</v>
      </c>
      <c r="B162" t="s">
        <v>12</v>
      </c>
      <c r="C162" t="s">
        <v>379</v>
      </c>
      <c r="D162" t="s">
        <v>16</v>
      </c>
      <c r="F162">
        <v>408</v>
      </c>
      <c r="H162">
        <v>408</v>
      </c>
      <c r="I162">
        <v>432</v>
      </c>
      <c r="J162">
        <v>300</v>
      </c>
      <c r="K162">
        <v>-24</v>
      </c>
      <c r="L162">
        <v>12</v>
      </c>
      <c r="M162">
        <v>120</v>
      </c>
    </row>
    <row r="163" spans="1:13" x14ac:dyDescent="0.25">
      <c r="A163">
        <v>9886</v>
      </c>
      <c r="B163" t="s">
        <v>17</v>
      </c>
      <c r="C163" t="s">
        <v>380</v>
      </c>
      <c r="D163" t="s">
        <v>14</v>
      </c>
      <c r="F163">
        <v>525</v>
      </c>
      <c r="H163">
        <v>525</v>
      </c>
      <c r="I163">
        <v>720</v>
      </c>
      <c r="J163">
        <v>450</v>
      </c>
      <c r="K163">
        <v>-195</v>
      </c>
      <c r="L163">
        <v>30</v>
      </c>
      <c r="M163">
        <v>60</v>
      </c>
    </row>
    <row r="164" spans="1:13" x14ac:dyDescent="0.25">
      <c r="A164">
        <v>9886</v>
      </c>
      <c r="B164" t="s">
        <v>17</v>
      </c>
      <c r="C164" t="s">
        <v>381</v>
      </c>
      <c r="D164" t="s">
        <v>16</v>
      </c>
      <c r="F164">
        <v>492</v>
      </c>
      <c r="H164">
        <v>492</v>
      </c>
      <c r="I164">
        <v>552</v>
      </c>
      <c r="J164">
        <v>384</v>
      </c>
      <c r="K164">
        <v>-60</v>
      </c>
      <c r="L164">
        <v>0</v>
      </c>
      <c r="M164">
        <v>108</v>
      </c>
    </row>
    <row r="165" spans="1:13" x14ac:dyDescent="0.25">
      <c r="A165">
        <v>9887</v>
      </c>
      <c r="B165" t="s">
        <v>17</v>
      </c>
      <c r="C165" t="s">
        <v>382</v>
      </c>
      <c r="D165" t="s">
        <v>14</v>
      </c>
      <c r="F165">
        <v>492</v>
      </c>
      <c r="H165">
        <v>492</v>
      </c>
      <c r="I165">
        <v>480</v>
      </c>
      <c r="J165">
        <v>396</v>
      </c>
      <c r="K165">
        <v>12</v>
      </c>
      <c r="L165">
        <v>12</v>
      </c>
      <c r="M165">
        <v>84</v>
      </c>
    </row>
    <row r="166" spans="1:13" x14ac:dyDescent="0.25">
      <c r="A166">
        <v>9887</v>
      </c>
      <c r="B166" t="s">
        <v>17</v>
      </c>
      <c r="C166" t="s">
        <v>383</v>
      </c>
      <c r="D166" t="s">
        <v>16</v>
      </c>
      <c r="F166">
        <v>705</v>
      </c>
      <c r="H166">
        <v>705</v>
      </c>
      <c r="I166">
        <v>705</v>
      </c>
      <c r="J166">
        <v>615</v>
      </c>
      <c r="K166">
        <v>0</v>
      </c>
      <c r="L166">
        <v>75</v>
      </c>
      <c r="M166">
        <v>15</v>
      </c>
    </row>
    <row r="167" spans="1:13" x14ac:dyDescent="0.25">
      <c r="A167">
        <v>9887</v>
      </c>
      <c r="B167" t="s">
        <v>60</v>
      </c>
      <c r="C167" t="s">
        <v>384</v>
      </c>
      <c r="D167" t="s">
        <v>14</v>
      </c>
      <c r="F167">
        <v>0</v>
      </c>
      <c r="H167">
        <v>0</v>
      </c>
      <c r="I167">
        <v>0</v>
      </c>
      <c r="J167" t="s">
        <v>209</v>
      </c>
      <c r="K167">
        <v>0</v>
      </c>
      <c r="L167">
        <v>0</v>
      </c>
      <c r="M167">
        <v>0</v>
      </c>
    </row>
    <row r="168" spans="1:13" x14ac:dyDescent="0.25">
      <c r="A168">
        <v>9887</v>
      </c>
      <c r="B168" t="s">
        <v>60</v>
      </c>
      <c r="C168" t="s">
        <v>385</v>
      </c>
      <c r="D168" t="s">
        <v>16</v>
      </c>
      <c r="F168">
        <v>0</v>
      </c>
      <c r="H168">
        <v>0</v>
      </c>
      <c r="I168">
        <v>0</v>
      </c>
      <c r="J168" t="s">
        <v>209</v>
      </c>
      <c r="K168">
        <v>0</v>
      </c>
      <c r="L168">
        <v>0</v>
      </c>
      <c r="M168">
        <v>0</v>
      </c>
    </row>
    <row r="169" spans="1:13" x14ac:dyDescent="0.25">
      <c r="A169">
        <v>9888</v>
      </c>
      <c r="B169" t="s">
        <v>12</v>
      </c>
      <c r="C169" t="s">
        <v>386</v>
      </c>
      <c r="D169" t="s">
        <v>14</v>
      </c>
      <c r="F169">
        <v>315</v>
      </c>
      <c r="H169">
        <v>315</v>
      </c>
      <c r="I169">
        <v>345</v>
      </c>
      <c r="J169">
        <v>240</v>
      </c>
      <c r="K169">
        <v>-30</v>
      </c>
      <c r="L169">
        <v>30</v>
      </c>
      <c r="M169">
        <v>45</v>
      </c>
    </row>
    <row r="170" spans="1:13" x14ac:dyDescent="0.25">
      <c r="A170">
        <v>9888</v>
      </c>
      <c r="B170" t="s">
        <v>17</v>
      </c>
      <c r="C170" t="s">
        <v>387</v>
      </c>
      <c r="D170" t="s">
        <v>14</v>
      </c>
      <c r="F170">
        <v>735</v>
      </c>
      <c r="H170">
        <v>735</v>
      </c>
      <c r="I170">
        <v>870</v>
      </c>
      <c r="J170">
        <v>675</v>
      </c>
      <c r="K170">
        <v>-135</v>
      </c>
      <c r="L170">
        <v>60</v>
      </c>
      <c r="M170">
        <v>0</v>
      </c>
    </row>
    <row r="171" spans="1:13" x14ac:dyDescent="0.25">
      <c r="A171">
        <v>9888</v>
      </c>
      <c r="B171" t="s">
        <v>48</v>
      </c>
      <c r="C171" t="s">
        <v>388</v>
      </c>
      <c r="D171" t="s">
        <v>14</v>
      </c>
      <c r="F171">
        <v>495</v>
      </c>
      <c r="H171">
        <v>495</v>
      </c>
      <c r="I171">
        <v>495</v>
      </c>
      <c r="J171">
        <v>330</v>
      </c>
      <c r="K171">
        <v>0</v>
      </c>
      <c r="L171">
        <v>60</v>
      </c>
      <c r="M171">
        <v>105</v>
      </c>
    </row>
    <row r="172" spans="1:13" x14ac:dyDescent="0.25">
      <c r="A172">
        <v>9892</v>
      </c>
      <c r="B172" t="s">
        <v>17</v>
      </c>
      <c r="C172" t="s">
        <v>389</v>
      </c>
      <c r="D172" t="s">
        <v>14</v>
      </c>
      <c r="F172">
        <v>825</v>
      </c>
      <c r="H172">
        <v>825</v>
      </c>
      <c r="I172">
        <v>929</v>
      </c>
      <c r="J172">
        <v>750</v>
      </c>
      <c r="K172">
        <v>-104</v>
      </c>
      <c r="L172">
        <v>0</v>
      </c>
      <c r="M172">
        <v>75</v>
      </c>
    </row>
    <row r="173" spans="1:13" x14ac:dyDescent="0.25">
      <c r="A173">
        <v>9892</v>
      </c>
      <c r="B173" t="s">
        <v>17</v>
      </c>
      <c r="C173" t="s">
        <v>390</v>
      </c>
      <c r="D173" t="s">
        <v>16</v>
      </c>
      <c r="F173">
        <v>588</v>
      </c>
      <c r="H173">
        <v>588</v>
      </c>
      <c r="I173">
        <v>924</v>
      </c>
      <c r="J173">
        <v>588</v>
      </c>
      <c r="K173">
        <v>-336</v>
      </c>
      <c r="L173">
        <v>0</v>
      </c>
      <c r="M173">
        <v>0</v>
      </c>
    </row>
    <row r="174" spans="1:13" x14ac:dyDescent="0.25">
      <c r="A174">
        <v>9895</v>
      </c>
      <c r="B174" t="s">
        <v>17</v>
      </c>
      <c r="C174" t="s">
        <v>391</v>
      </c>
      <c r="D174" t="s">
        <v>14</v>
      </c>
      <c r="F174">
        <v>420</v>
      </c>
      <c r="H174">
        <v>420</v>
      </c>
      <c r="I174">
        <v>495</v>
      </c>
      <c r="J174">
        <v>374</v>
      </c>
      <c r="K174">
        <v>-75</v>
      </c>
      <c r="L174">
        <v>0</v>
      </c>
      <c r="M174">
        <v>45</v>
      </c>
    </row>
    <row r="175" spans="1:13" x14ac:dyDescent="0.25">
      <c r="A175">
        <v>9895</v>
      </c>
      <c r="B175" t="s">
        <v>37</v>
      </c>
      <c r="C175" t="s">
        <v>392</v>
      </c>
      <c r="D175" t="s">
        <v>14</v>
      </c>
      <c r="F175">
        <v>360</v>
      </c>
      <c r="H175">
        <v>360</v>
      </c>
      <c r="I175">
        <v>360</v>
      </c>
      <c r="J175">
        <v>285</v>
      </c>
      <c r="K175">
        <v>0</v>
      </c>
      <c r="L175">
        <v>0</v>
      </c>
      <c r="M175">
        <v>85</v>
      </c>
    </row>
    <row r="176" spans="1:13" x14ac:dyDescent="0.25">
      <c r="A176">
        <v>9895</v>
      </c>
      <c r="B176" t="s">
        <v>48</v>
      </c>
      <c r="C176" t="s">
        <v>393</v>
      </c>
      <c r="D176" t="s">
        <v>14</v>
      </c>
      <c r="F176">
        <v>375</v>
      </c>
      <c r="H176">
        <v>375</v>
      </c>
      <c r="I176">
        <v>420</v>
      </c>
      <c r="J176">
        <v>345</v>
      </c>
      <c r="K176">
        <v>-45</v>
      </c>
      <c r="L176">
        <v>0</v>
      </c>
      <c r="M176">
        <v>30</v>
      </c>
    </row>
    <row r="177" spans="1:13" x14ac:dyDescent="0.25">
      <c r="A177">
        <v>9897</v>
      </c>
      <c r="B177" t="s">
        <v>17</v>
      </c>
      <c r="C177" t="s">
        <v>394</v>
      </c>
      <c r="D177" t="s">
        <v>14</v>
      </c>
      <c r="F177">
        <v>600</v>
      </c>
      <c r="H177">
        <v>600</v>
      </c>
      <c r="I177">
        <v>300</v>
      </c>
      <c r="J177">
        <v>255</v>
      </c>
      <c r="K177">
        <v>300</v>
      </c>
      <c r="L177">
        <v>0</v>
      </c>
      <c r="M177">
        <v>345</v>
      </c>
    </row>
    <row r="178" spans="1:13" x14ac:dyDescent="0.25">
      <c r="A178">
        <v>9897</v>
      </c>
      <c r="B178" t="s">
        <v>91</v>
      </c>
      <c r="C178" t="s">
        <v>395</v>
      </c>
      <c r="D178" t="s">
        <v>14</v>
      </c>
      <c r="F178">
        <v>765</v>
      </c>
      <c r="H178">
        <v>765</v>
      </c>
      <c r="I178">
        <v>765</v>
      </c>
      <c r="J178">
        <v>659</v>
      </c>
      <c r="K178">
        <v>0</v>
      </c>
      <c r="L178">
        <v>0</v>
      </c>
      <c r="M178">
        <v>105</v>
      </c>
    </row>
    <row r="179" spans="1:13" x14ac:dyDescent="0.25">
      <c r="A179" t="s">
        <v>396</v>
      </c>
      <c r="B179" t="s">
        <v>60</v>
      </c>
      <c r="C179" t="s">
        <v>397</v>
      </c>
      <c r="D179" t="s">
        <v>16</v>
      </c>
      <c r="E179">
        <v>0</v>
      </c>
      <c r="F179">
        <v>0</v>
      </c>
      <c r="H179">
        <v>0</v>
      </c>
      <c r="I179">
        <v>0</v>
      </c>
      <c r="J179" t="s">
        <v>209</v>
      </c>
      <c r="K179">
        <v>0</v>
      </c>
      <c r="L179">
        <v>0</v>
      </c>
      <c r="M179">
        <v>0</v>
      </c>
    </row>
    <row r="180" spans="1:13" x14ac:dyDescent="0.25">
      <c r="A180">
        <v>9909</v>
      </c>
      <c r="B180" t="s">
        <v>17</v>
      </c>
      <c r="C180" t="s">
        <v>398</v>
      </c>
      <c r="D180" t="s">
        <v>14</v>
      </c>
      <c r="F180">
        <v>750</v>
      </c>
      <c r="H180">
        <v>750</v>
      </c>
      <c r="I180">
        <v>735</v>
      </c>
      <c r="J180">
        <v>630</v>
      </c>
      <c r="K180">
        <v>15</v>
      </c>
      <c r="L180">
        <v>0</v>
      </c>
      <c r="M180">
        <v>75</v>
      </c>
    </row>
    <row r="181" spans="1:13" x14ac:dyDescent="0.25">
      <c r="A181">
        <v>9909</v>
      </c>
      <c r="B181" t="s">
        <v>37</v>
      </c>
      <c r="C181" t="s">
        <v>399</v>
      </c>
      <c r="D181" t="s">
        <v>14</v>
      </c>
      <c r="F181">
        <v>255</v>
      </c>
      <c r="H181">
        <v>255</v>
      </c>
      <c r="I181">
        <v>285</v>
      </c>
      <c r="J181">
        <v>195</v>
      </c>
      <c r="K181">
        <v>-30</v>
      </c>
      <c r="L181">
        <v>0</v>
      </c>
      <c r="M181">
        <v>60</v>
      </c>
    </row>
    <row r="182" spans="1:13" x14ac:dyDescent="0.25">
      <c r="A182" t="s">
        <v>400</v>
      </c>
      <c r="B182" t="s">
        <v>52</v>
      </c>
      <c r="C182" t="s">
        <v>401</v>
      </c>
      <c r="D182" t="s">
        <v>16</v>
      </c>
      <c r="E182">
        <v>192</v>
      </c>
      <c r="F182">
        <v>0</v>
      </c>
      <c r="H182">
        <v>192</v>
      </c>
      <c r="I182">
        <v>72</v>
      </c>
      <c r="J182">
        <v>71</v>
      </c>
      <c r="K182">
        <v>120</v>
      </c>
      <c r="L182">
        <v>0</v>
      </c>
      <c r="M182">
        <v>96</v>
      </c>
    </row>
    <row r="183" spans="1:13" x14ac:dyDescent="0.25">
      <c r="A183" t="s">
        <v>402</v>
      </c>
      <c r="B183" t="s">
        <v>17</v>
      </c>
      <c r="C183" t="s">
        <v>403</v>
      </c>
      <c r="D183" t="s">
        <v>16</v>
      </c>
      <c r="E183">
        <v>132</v>
      </c>
      <c r="F183">
        <v>0</v>
      </c>
      <c r="H183">
        <v>132</v>
      </c>
      <c r="I183">
        <v>36</v>
      </c>
      <c r="J183">
        <v>36</v>
      </c>
      <c r="K183">
        <v>96</v>
      </c>
      <c r="L183">
        <v>36</v>
      </c>
      <c r="M183">
        <v>60</v>
      </c>
    </row>
    <row r="184" spans="1:13" x14ac:dyDescent="0.25">
      <c r="A184" t="s">
        <v>404</v>
      </c>
      <c r="B184" t="s">
        <v>17</v>
      </c>
      <c r="C184" t="s">
        <v>405</v>
      </c>
      <c r="D184" t="s">
        <v>16</v>
      </c>
      <c r="E184">
        <v>168</v>
      </c>
      <c r="F184">
        <v>0</v>
      </c>
      <c r="H184">
        <v>168</v>
      </c>
      <c r="I184">
        <v>12</v>
      </c>
      <c r="J184">
        <v>24</v>
      </c>
      <c r="K184">
        <v>156</v>
      </c>
      <c r="L184">
        <v>0</v>
      </c>
      <c r="M184">
        <v>168</v>
      </c>
    </row>
    <row r="185" spans="1:13" x14ac:dyDescent="0.25">
      <c r="A185">
        <v>9915</v>
      </c>
      <c r="B185" t="s">
        <v>17</v>
      </c>
      <c r="C185" t="s">
        <v>406</v>
      </c>
      <c r="D185" t="s">
        <v>14</v>
      </c>
      <c r="F185">
        <v>600</v>
      </c>
      <c r="H185">
        <v>600</v>
      </c>
      <c r="I185">
        <v>555</v>
      </c>
      <c r="J185">
        <v>435</v>
      </c>
      <c r="K185">
        <v>45</v>
      </c>
      <c r="L185">
        <v>0</v>
      </c>
      <c r="M185">
        <v>165</v>
      </c>
    </row>
    <row r="186" spans="1:13" x14ac:dyDescent="0.25">
      <c r="A186">
        <v>9915</v>
      </c>
      <c r="B186" t="s">
        <v>34</v>
      </c>
      <c r="C186" t="s">
        <v>407</v>
      </c>
      <c r="D186" t="s">
        <v>14</v>
      </c>
      <c r="F186">
        <v>0</v>
      </c>
      <c r="H186">
        <v>0</v>
      </c>
      <c r="I186">
        <v>0</v>
      </c>
      <c r="J186" t="s">
        <v>209</v>
      </c>
      <c r="K186">
        <v>0</v>
      </c>
      <c r="L186">
        <v>0</v>
      </c>
      <c r="M186">
        <v>0</v>
      </c>
    </row>
    <row r="187" spans="1:13" x14ac:dyDescent="0.25">
      <c r="A187">
        <v>9916</v>
      </c>
      <c r="B187" t="s">
        <v>48</v>
      </c>
      <c r="C187" t="s">
        <v>408</v>
      </c>
      <c r="D187" t="s">
        <v>14</v>
      </c>
      <c r="F187">
        <v>225</v>
      </c>
      <c r="H187">
        <v>225</v>
      </c>
      <c r="I187">
        <v>270</v>
      </c>
      <c r="J187">
        <v>225</v>
      </c>
      <c r="K187">
        <v>-45</v>
      </c>
      <c r="L187">
        <v>0</v>
      </c>
      <c r="M187">
        <v>0</v>
      </c>
    </row>
    <row r="188" spans="1:13" x14ac:dyDescent="0.25">
      <c r="A188">
        <v>9916</v>
      </c>
      <c r="B188" t="s">
        <v>91</v>
      </c>
      <c r="C188" t="s">
        <v>409</v>
      </c>
      <c r="D188" t="s">
        <v>14</v>
      </c>
      <c r="F188">
        <v>450</v>
      </c>
      <c r="H188">
        <v>450</v>
      </c>
      <c r="I188">
        <v>375</v>
      </c>
      <c r="J188">
        <v>300</v>
      </c>
      <c r="K188">
        <v>75</v>
      </c>
      <c r="L188">
        <v>0</v>
      </c>
      <c r="M188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verano2024</vt:lpstr>
      <vt:lpstr>verano2025</vt:lpstr>
      <vt:lpstr>invierno2025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community passer</dc:creator>
  <cp:lastModifiedBy>community passer</cp:lastModifiedBy>
  <dcterms:created xsi:type="dcterms:W3CDTF">2025-11-24T16:39:16Z</dcterms:created>
  <dcterms:modified xsi:type="dcterms:W3CDTF">2025-11-24T19:02:24Z</dcterms:modified>
</cp:coreProperties>
</file>